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met\Desktop\"/>
    </mc:Choice>
  </mc:AlternateContent>
  <xr:revisionPtr revIDLastSave="0" documentId="8_{7D3913DF-7E26-4E7E-BDDA-434A43868E54}" xr6:coauthVersionLast="47" xr6:coauthVersionMax="47" xr10:uidLastSave="{00000000-0000-0000-0000-000000000000}"/>
  <bookViews>
    <workbookView xWindow="-108" yWindow="-108" windowWidth="23256" windowHeight="12456" activeTab="1" xr2:uid="{D20389FC-577E-4A3D-8C81-7BF9FC224316}"/>
  </bookViews>
  <sheets>
    <sheet name="Bitcoin Historical Data" sheetId="3" r:id="rId1"/>
    <sheet name="Bitcoin Dashboard" sheetId="1" r:id="rId2"/>
    <sheet name="Bitcoin PivotTable" sheetId="2" r:id="rId3"/>
  </sheets>
  <definedNames>
    <definedName name="Slicer_Day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3" l="1"/>
  <c r="S4" i="3"/>
  <c r="S5" i="3"/>
  <c r="S6" i="3"/>
  <c r="S7" i="3"/>
  <c r="S8" i="3"/>
  <c r="S9" i="3"/>
  <c r="S10" i="3"/>
  <c r="S11" i="3"/>
  <c r="S12" i="3"/>
  <c r="S13" i="3"/>
  <c r="S14" i="3"/>
  <c r="S15" i="3"/>
  <c r="S16" i="3"/>
  <c r="S17" i="3"/>
  <c r="S18" i="3"/>
  <c r="S19" i="3"/>
  <c r="S20" i="3"/>
  <c r="S21" i="3"/>
  <c r="S22" i="3"/>
  <c r="S23" i="3"/>
  <c r="S24" i="3"/>
  <c r="S25" i="3"/>
  <c r="S26" i="3"/>
  <c r="S27" i="3"/>
  <c r="S28" i="3"/>
  <c r="S29"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2" i="3"/>
  <c r="P2" i="3" a="1"/>
  <c r="P2" i="3" s="1"/>
  <c r="O3" i="3"/>
  <c r="O4" i="3"/>
  <c r="O5" i="3"/>
  <c r="O6" i="3"/>
  <c r="O7" i="3"/>
  <c r="O8" i="3"/>
  <c r="O9" i="3"/>
  <c r="O10" i="3"/>
  <c r="O11" i="3"/>
  <c r="O12" i="3"/>
  <c r="O13" i="3"/>
  <c r="O14" i="3"/>
  <c r="O15" i="3"/>
  <c r="O16" i="3"/>
  <c r="O17" i="3"/>
  <c r="O18" i="3"/>
  <c r="O19" i="3"/>
  <c r="O20" i="3"/>
  <c r="O21" i="3"/>
  <c r="O22" i="3"/>
  <c r="O23" i="3"/>
  <c r="O24" i="3"/>
  <c r="O25" i="3"/>
  <c r="O26" i="3"/>
  <c r="O27" i="3"/>
  <c r="O28" i="3"/>
  <c r="O29" i="3"/>
  <c r="O2" i="3"/>
  <c r="J27" i="3"/>
  <c r="I27" i="3"/>
  <c r="H27" i="3"/>
  <c r="J20" i="3"/>
  <c r="I20" i="3"/>
  <c r="H20" i="3"/>
  <c r="J13" i="3"/>
  <c r="I13" i="3"/>
  <c r="H13" i="3"/>
  <c r="J6" i="3"/>
  <c r="I6" i="3"/>
  <c r="H6" i="3"/>
  <c r="J26" i="3"/>
  <c r="I26" i="3"/>
  <c r="H26" i="3"/>
  <c r="J19" i="3"/>
  <c r="I19" i="3"/>
  <c r="H19" i="3"/>
  <c r="J12" i="3"/>
  <c r="I12" i="3"/>
  <c r="H12" i="3"/>
  <c r="J5" i="3"/>
  <c r="I5" i="3"/>
  <c r="H5" i="3"/>
  <c r="J28" i="3"/>
  <c r="I28" i="3"/>
  <c r="H28" i="3"/>
  <c r="J21" i="3"/>
  <c r="I21" i="3"/>
  <c r="H21" i="3"/>
  <c r="J14" i="3"/>
  <c r="I14" i="3"/>
  <c r="H14" i="3"/>
  <c r="J7" i="3"/>
  <c r="I7" i="3"/>
  <c r="H7" i="3"/>
  <c r="J24" i="3"/>
  <c r="I24" i="3"/>
  <c r="H24" i="3"/>
  <c r="J17" i="3"/>
  <c r="I17" i="3"/>
  <c r="H17" i="3"/>
  <c r="J10" i="3"/>
  <c r="I10" i="3"/>
  <c r="H10" i="3"/>
  <c r="J3" i="3"/>
  <c r="I3" i="3"/>
  <c r="H3" i="3"/>
  <c r="J23" i="3"/>
  <c r="I23" i="3"/>
  <c r="H23" i="3"/>
  <c r="J16" i="3"/>
  <c r="I16" i="3"/>
  <c r="H16" i="3"/>
  <c r="J9" i="3"/>
  <c r="I9" i="3"/>
  <c r="H9" i="3"/>
  <c r="J2" i="3"/>
  <c r="I2" i="3"/>
  <c r="H2" i="3"/>
  <c r="J25" i="3"/>
  <c r="I25" i="3"/>
  <c r="H25" i="3"/>
  <c r="J18" i="3"/>
  <c r="I18" i="3"/>
  <c r="H18" i="3"/>
  <c r="J11" i="3"/>
  <c r="I11" i="3"/>
  <c r="H11" i="3"/>
  <c r="J4" i="3"/>
  <c r="I4" i="3"/>
  <c r="H4" i="3"/>
  <c r="J29" i="3"/>
  <c r="I29" i="3"/>
  <c r="H29" i="3"/>
  <c r="J22" i="3"/>
  <c r="I22" i="3"/>
  <c r="H22" i="3"/>
  <c r="J15" i="3"/>
  <c r="I15" i="3"/>
  <c r="H15" i="3"/>
  <c r="J8" i="3"/>
  <c r="L22" i="3" s="1"/>
  <c r="I8" i="3"/>
  <c r="H8" i="3"/>
  <c r="J21" i="1"/>
  <c r="J29" i="1"/>
  <c r="J25" i="1"/>
  <c r="J9" i="1"/>
  <c r="J17" i="1"/>
  <c r="J13" i="1"/>
  <c r="J4" i="1"/>
  <c r="J20" i="1"/>
  <c r="J28" i="1"/>
  <c r="J24" i="1"/>
  <c r="J8" i="1"/>
  <c r="J16" i="1"/>
  <c r="J12" i="1"/>
  <c r="J3" i="1"/>
  <c r="J19" i="1"/>
  <c r="J27" i="1"/>
  <c r="J23" i="1"/>
  <c r="J7" i="1"/>
  <c r="J15" i="1"/>
  <c r="J11" i="1"/>
  <c r="J2" i="1"/>
  <c r="J18" i="1"/>
  <c r="J26" i="1"/>
  <c r="J22" i="1"/>
  <c r="J6" i="1"/>
  <c r="J14" i="1"/>
  <c r="J10" i="1"/>
  <c r="J5" i="1"/>
  <c r="H21" i="1"/>
  <c r="H29" i="1"/>
  <c r="H25" i="1"/>
  <c r="H9" i="1"/>
  <c r="H17" i="1"/>
  <c r="H13" i="1"/>
  <c r="H4" i="1"/>
  <c r="H20" i="1"/>
  <c r="H28" i="1"/>
  <c r="H24" i="1"/>
  <c r="H8" i="1"/>
  <c r="H16" i="1"/>
  <c r="H12" i="1"/>
  <c r="H3" i="1"/>
  <c r="H19" i="1"/>
  <c r="H27" i="1"/>
  <c r="H23" i="1"/>
  <c r="H7" i="1"/>
  <c r="H15" i="1"/>
  <c r="H11" i="1"/>
  <c r="H2" i="1"/>
  <c r="H18" i="1"/>
  <c r="H26" i="1"/>
  <c r="H22" i="1"/>
  <c r="H6" i="1"/>
  <c r="H14" i="1"/>
  <c r="H10" i="1"/>
  <c r="H5" i="1"/>
  <c r="I21" i="1"/>
  <c r="I29" i="1"/>
  <c r="I25" i="1"/>
  <c r="I9" i="1"/>
  <c r="I17" i="1"/>
  <c r="I13" i="1"/>
  <c r="I4" i="1"/>
  <c r="I20" i="1"/>
  <c r="I28" i="1"/>
  <c r="I24" i="1"/>
  <c r="I8" i="1"/>
  <c r="I16" i="1"/>
  <c r="I12" i="1"/>
  <c r="I3" i="1"/>
  <c r="I19" i="1"/>
  <c r="I27" i="1"/>
  <c r="I23" i="1"/>
  <c r="I7" i="1"/>
  <c r="I15" i="1"/>
  <c r="I11" i="1"/>
  <c r="I2" i="1"/>
  <c r="I18" i="1"/>
  <c r="I26" i="1"/>
  <c r="I22" i="1"/>
  <c r="I6" i="1"/>
  <c r="I14" i="1"/>
  <c r="I10" i="1"/>
  <c r="I5" i="1"/>
  <c r="L26" i="3" l="1"/>
  <c r="L27" i="3"/>
  <c r="L23" i="3"/>
  <c r="K23" i="3"/>
  <c r="K28" i="3"/>
  <c r="K29" i="3"/>
  <c r="K24" i="3"/>
  <c r="K26" i="3"/>
  <c r="L28" i="3"/>
  <c r="L24" i="3"/>
  <c r="K21" i="3"/>
  <c r="L21" i="3"/>
  <c r="K25" i="3"/>
  <c r="K27" i="3"/>
  <c r="L29" i="3"/>
  <c r="K22" i="3"/>
  <c r="L25" i="3"/>
  <c r="K17" i="1"/>
  <c r="K9" i="1"/>
  <c r="K25" i="1"/>
  <c r="K29" i="1"/>
  <c r="N29" i="1" s="1"/>
  <c r="L21" i="1"/>
  <c r="L5" i="1"/>
  <c r="K13" i="1"/>
  <c r="K4" i="1"/>
  <c r="L20" i="1"/>
  <c r="L4" i="1"/>
  <c r="L13" i="1"/>
  <c r="M29" i="1"/>
  <c r="K20" i="1"/>
  <c r="L29" i="1"/>
  <c r="K5" i="1"/>
  <c r="L25" i="1"/>
  <c r="M25" i="1" s="1"/>
  <c r="K21" i="1"/>
  <c r="L9" i="1"/>
  <c r="M9" i="1" s="1"/>
  <c r="L17" i="1"/>
  <c r="M17" i="1" s="1"/>
  <c r="M23" i="3" l="1"/>
  <c r="N23" i="3"/>
  <c r="N27" i="3"/>
  <c r="M27" i="3"/>
  <c r="N25" i="3"/>
  <c r="M25" i="3"/>
  <c r="N24" i="3"/>
  <c r="M24" i="3"/>
  <c r="M22" i="3"/>
  <c r="N22" i="3"/>
  <c r="N28" i="3"/>
  <c r="M28" i="3"/>
  <c r="M21" i="3"/>
  <c r="N21" i="3"/>
  <c r="N26" i="3"/>
  <c r="M26" i="3"/>
  <c r="N29" i="3"/>
  <c r="M29" i="3"/>
  <c r="N4" i="1"/>
  <c r="N13" i="1"/>
  <c r="M4" i="1"/>
  <c r="M13" i="1"/>
  <c r="N17" i="1"/>
  <c r="N25" i="1"/>
  <c r="M5" i="1"/>
  <c r="N5" i="1"/>
  <c r="N9" i="1"/>
  <c r="M21" i="1"/>
  <c r="N21" i="1"/>
  <c r="M20" i="1"/>
  <c r="N2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<sst xmlns="http://schemas.openxmlformats.org/spreadsheetml/2006/main" count="106" uniqueCount="57">
  <si>
    <t>Date</t>
  </si>
  <si>
    <t>Price</t>
  </si>
  <si>
    <t>Open</t>
  </si>
  <si>
    <t>High</t>
  </si>
  <si>
    <t>Low</t>
  </si>
  <si>
    <t>Vol.</t>
  </si>
  <si>
    <t>Change %</t>
  </si>
  <si>
    <t>77.70K</t>
  </si>
  <si>
    <t>89.38K</t>
  </si>
  <si>
    <t>136.55K</t>
  </si>
  <si>
    <t>80.59K</t>
  </si>
  <si>
    <t>108.80K</t>
  </si>
  <si>
    <t>71.35K</t>
  </si>
  <si>
    <t>78.94K</t>
  </si>
  <si>
    <t>75.21K</t>
  </si>
  <si>
    <t>72.07K</t>
  </si>
  <si>
    <t>105.59K</t>
  </si>
  <si>
    <t>79.66K</t>
  </si>
  <si>
    <t>108.84K</t>
  </si>
  <si>
    <t>32.60K</t>
  </si>
  <si>
    <t>31.40K</t>
  </si>
  <si>
    <t>90.38K</t>
  </si>
  <si>
    <t>53.72K</t>
  </si>
  <si>
    <t>56.70K</t>
  </si>
  <si>
    <t>54.94K</t>
  </si>
  <si>
    <t>52.19K</t>
  </si>
  <si>
    <t>59.22K</t>
  </si>
  <si>
    <t>56.53K</t>
  </si>
  <si>
    <t>70.10K</t>
  </si>
  <si>
    <t>79.76K</t>
  </si>
  <si>
    <t>89.97K</t>
  </si>
  <si>
    <t>70.29K</t>
  </si>
  <si>
    <t>89.05K</t>
  </si>
  <si>
    <t>64.85K</t>
  </si>
  <si>
    <t>113.64K</t>
  </si>
  <si>
    <t>Close</t>
  </si>
  <si>
    <t>DayName</t>
  </si>
  <si>
    <t>Volume_Number</t>
  </si>
  <si>
    <t>Row Labels</t>
  </si>
  <si>
    <t>Sun</t>
  </si>
  <si>
    <t>Mon</t>
  </si>
  <si>
    <t>Tue</t>
  </si>
  <si>
    <t>Wed</t>
  </si>
  <si>
    <t>Thu</t>
  </si>
  <si>
    <t>Fri</t>
  </si>
  <si>
    <t>Sat</t>
  </si>
  <si>
    <t>Average of Volume_Number</t>
  </si>
  <si>
    <t>Average of Price</t>
  </si>
  <si>
    <t>Standard_Division</t>
  </si>
  <si>
    <t>Upper_Band</t>
  </si>
  <si>
    <t>Lower_Band</t>
  </si>
  <si>
    <t>20-Day MA</t>
  </si>
  <si>
    <t>Average Trading Volume</t>
  </si>
  <si>
    <t xml:space="preserve">Average Price Change </t>
  </si>
  <si>
    <t>Day of Week</t>
  </si>
  <si>
    <t>d</t>
  </si>
  <si>
    <t>PercentRank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</si>
</sst>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5"/>
        <bgColor indexed="64"/>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4" fontId="0" fillId="0" borderId="0" xfId="0" applyNumberFormat="1"/>
    <xf numFmtId="10"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xf numFmtId="0" fontId="16" fillId="34" borderId="0" xfId="0" applyFont="1" applyFill="1" applyAlignment="1">
      <alignment horizontal="center" vertical="center"/>
    </xf>
    <xf numFmtId="0" fontId="16" fillId="35" borderId="0" xfId="0" applyNumberFormat="1" applyFont="1" applyFill="1" applyAlignment="1">
      <alignment horizontal="center" vertical="center"/>
    </xf>
    <xf numFmtId="0" fontId="16"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6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Bitcoin Daily Price Movement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'Bitcoin Dashboard'!$C$1</c:f>
              <c:strCache>
                <c:ptCount val="1"/>
                <c:pt idx="0">
                  <c:v>Open</c:v>
                </c:pt>
              </c:strCache>
            </c:strRef>
          </c:tx>
          <c:spPr>
            <a:ln w="38100" cap="rnd">
              <a:noFill/>
              <a:round/>
            </a:ln>
            <a:effectLst/>
          </c:spPr>
          <c:marker>
            <c:symbol val="none"/>
          </c:marker>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Dashboard'!$C$2:$C$29</c:f>
              <c:numCache>
                <c:formatCode>#,##0.00</c:formatCode>
                <c:ptCount val="28"/>
                <c:pt idx="0">
                  <c:v>66234.100000000006</c:v>
                </c:pt>
                <c:pt idx="1">
                  <c:v>66983.7</c:v>
                </c:pt>
                <c:pt idx="2">
                  <c:v>67487.7</c:v>
                </c:pt>
                <c:pt idx="3">
                  <c:v>70892.899999999994</c:v>
                </c:pt>
                <c:pt idx="4">
                  <c:v>70356</c:v>
                </c:pt>
                <c:pt idx="5">
                  <c:v>68818.7</c:v>
                </c:pt>
                <c:pt idx="6">
                  <c:v>67640</c:v>
                </c:pt>
                <c:pt idx="7">
                  <c:v>65806.600000000006</c:v>
                </c:pt>
                <c:pt idx="8">
                  <c:v>70556</c:v>
                </c:pt>
                <c:pt idx="9">
                  <c:v>68828.7</c:v>
                </c:pt>
                <c:pt idx="10">
                  <c:v>68018.100000000006</c:v>
                </c:pt>
                <c:pt idx="11">
                  <c:v>65881.5</c:v>
                </c:pt>
                <c:pt idx="12">
                  <c:v>69318.8</c:v>
                </c:pt>
                <c:pt idx="13">
                  <c:v>69797</c:v>
                </c:pt>
                <c:pt idx="14">
                  <c:v>68003</c:v>
                </c:pt>
                <c:pt idx="15">
                  <c:v>66990.7</c:v>
                </c:pt>
                <c:pt idx="16">
                  <c:v>67048.800000000003</c:v>
                </c:pt>
                <c:pt idx="17">
                  <c:v>66466.7</c:v>
                </c:pt>
                <c:pt idx="18">
                  <c:v>67987.199999999997</c:v>
                </c:pt>
                <c:pt idx="19">
                  <c:v>72744.3</c:v>
                </c:pt>
                <c:pt idx="20">
                  <c:v>70122.7</c:v>
                </c:pt>
                <c:pt idx="21">
                  <c:v>68889.399999999994</c:v>
                </c:pt>
                <c:pt idx="22">
                  <c:v>64655.199999999997</c:v>
                </c:pt>
                <c:pt idx="23">
                  <c:v>68802.7</c:v>
                </c:pt>
                <c:pt idx="24">
                  <c:v>68809.2</c:v>
                </c:pt>
                <c:pt idx="25">
                  <c:v>67495.7</c:v>
                </c:pt>
                <c:pt idx="26">
                  <c:v>64058.2</c:v>
                </c:pt>
                <c:pt idx="27">
                  <c:v>68319.3</c:v>
                </c:pt>
              </c:numCache>
            </c:numRef>
          </c:val>
          <c:smooth val="0"/>
          <c:extLst>
            <c:ext xmlns:c16="http://schemas.microsoft.com/office/drawing/2014/chart" uri="{C3380CC4-5D6E-409C-BE32-E72D297353CC}">
              <c16:uniqueId val="{00000000-13F7-4AF6-817B-F73891ABE143}"/>
            </c:ext>
          </c:extLst>
        </c:ser>
        <c:ser>
          <c:idx val="1"/>
          <c:order val="1"/>
          <c:tx>
            <c:strRef>
              <c:f>'Bitcoin Dashboard'!$D$1</c:f>
              <c:strCache>
                <c:ptCount val="1"/>
                <c:pt idx="0">
                  <c:v>High</c:v>
                </c:pt>
              </c:strCache>
            </c:strRef>
          </c:tx>
          <c:spPr>
            <a:ln w="38100" cap="rnd">
              <a:noFill/>
              <a:round/>
            </a:ln>
            <a:effectLst/>
          </c:spPr>
          <c:marker>
            <c:symbol val="none"/>
          </c:marker>
          <c:trendline>
            <c:spPr>
              <a:ln w="28575" cap="rnd">
                <a:solidFill>
                  <a:schemeClr val="accent1">
                    <a:lumMod val="50000"/>
                  </a:schemeClr>
                </a:solidFill>
                <a:prstDash val="solid"/>
              </a:ln>
              <a:effectLst/>
            </c:spPr>
            <c:trendlineType val="movingAvg"/>
            <c:period val="2"/>
            <c:dispRSqr val="0"/>
            <c:dispEq val="0"/>
          </c:trendline>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Dashboard'!$D$2:$D$29</c:f>
              <c:numCache>
                <c:formatCode>#,##0.00</c:formatCode>
                <c:ptCount val="28"/>
                <c:pt idx="0">
                  <c:v>69405.5</c:v>
                </c:pt>
                <c:pt idx="1">
                  <c:v>68299.399999999994</c:v>
                </c:pt>
                <c:pt idx="2">
                  <c:v>68190.8</c:v>
                </c:pt>
                <c:pt idx="3">
                  <c:v>71361.100000000006</c:v>
                </c:pt>
                <c:pt idx="4">
                  <c:v>71379.5</c:v>
                </c:pt>
                <c:pt idx="5">
                  <c:v>70076</c:v>
                </c:pt>
                <c:pt idx="6">
                  <c:v>67665.399999999994</c:v>
                </c:pt>
                <c:pt idx="7">
                  <c:v>69986.399999999994</c:v>
                </c:pt>
                <c:pt idx="8">
                  <c:v>71570.399999999994</c:v>
                </c:pt>
                <c:pt idx="9">
                  <c:v>70494.5</c:v>
                </c:pt>
                <c:pt idx="10">
                  <c:v>68673.3</c:v>
                </c:pt>
                <c:pt idx="11">
                  <c:v>67657.399999999994</c:v>
                </c:pt>
                <c:pt idx="12">
                  <c:v>72204.2</c:v>
                </c:pt>
                <c:pt idx="13">
                  <c:v>70961.2</c:v>
                </c:pt>
                <c:pt idx="14">
                  <c:v>68243.100000000006</c:v>
                </c:pt>
                <c:pt idx="15">
                  <c:v>68159.199999999997</c:v>
                </c:pt>
                <c:pt idx="16">
                  <c:v>68349.5</c:v>
                </c:pt>
                <c:pt idx="17">
                  <c:v>67304.600000000006</c:v>
                </c:pt>
                <c:pt idx="18">
                  <c:v>68842.899999999994</c:v>
                </c:pt>
                <c:pt idx="19">
                  <c:v>73540.2</c:v>
                </c:pt>
                <c:pt idx="20">
                  <c:v>70474.2</c:v>
                </c:pt>
                <c:pt idx="21">
                  <c:v>69174.399999999994</c:v>
                </c:pt>
                <c:pt idx="22">
                  <c:v>65002.3</c:v>
                </c:pt>
                <c:pt idx="23">
                  <c:v>69213.3</c:v>
                </c:pt>
                <c:pt idx="24">
                  <c:v>69273.899999999994</c:v>
                </c:pt>
                <c:pt idx="25">
                  <c:v>68445.8</c:v>
                </c:pt>
                <c:pt idx="26">
                  <c:v>69819.3</c:v>
                </c:pt>
                <c:pt idx="27">
                  <c:v>74031</c:v>
                </c:pt>
              </c:numCache>
            </c:numRef>
          </c:val>
          <c:smooth val="0"/>
          <c:extLst>
            <c:ext xmlns:c16="http://schemas.microsoft.com/office/drawing/2014/chart" uri="{C3380CC4-5D6E-409C-BE32-E72D297353CC}">
              <c16:uniqueId val="{00000002-13F7-4AF6-817B-F73891ABE143}"/>
            </c:ext>
          </c:extLst>
        </c:ser>
        <c:ser>
          <c:idx val="2"/>
          <c:order val="2"/>
          <c:tx>
            <c:strRef>
              <c:f>'Bitcoin Dashboard'!$E$1</c:f>
              <c:strCache>
                <c:ptCount val="1"/>
                <c:pt idx="0">
                  <c:v>Low</c:v>
                </c:pt>
              </c:strCache>
            </c:strRef>
          </c:tx>
          <c:spPr>
            <a:ln w="38100" cap="rnd">
              <a:noFill/>
              <a:round/>
            </a:ln>
            <a:effectLst/>
          </c:spPr>
          <c:marker>
            <c:symbol val="none"/>
          </c:marker>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Dashboard'!$E$2:$E$29</c:f>
              <c:numCache>
                <c:formatCode>#,##0.00</c:formatCode>
                <c:ptCount val="28"/>
                <c:pt idx="0">
                  <c:v>65871</c:v>
                </c:pt>
                <c:pt idx="1">
                  <c:v>66501.8</c:v>
                </c:pt>
                <c:pt idx="2">
                  <c:v>65018.7</c:v>
                </c:pt>
                <c:pt idx="3">
                  <c:v>67755.5</c:v>
                </c:pt>
                <c:pt idx="4">
                  <c:v>68389.3</c:v>
                </c:pt>
                <c:pt idx="5">
                  <c:v>67315</c:v>
                </c:pt>
                <c:pt idx="6">
                  <c:v>63939</c:v>
                </c:pt>
                <c:pt idx="7">
                  <c:v>65307.8</c:v>
                </c:pt>
                <c:pt idx="8">
                  <c:v>67397.399999999994</c:v>
                </c:pt>
                <c:pt idx="9">
                  <c:v>68725.600000000006</c:v>
                </c:pt>
                <c:pt idx="10">
                  <c:v>67556.399999999994</c:v>
                </c:pt>
                <c:pt idx="11">
                  <c:v>63068.7</c:v>
                </c:pt>
                <c:pt idx="12">
                  <c:v>68888.100000000006</c:v>
                </c:pt>
                <c:pt idx="13">
                  <c:v>68076.100000000006</c:v>
                </c:pt>
                <c:pt idx="14">
                  <c:v>67197.7</c:v>
                </c:pt>
                <c:pt idx="15">
                  <c:v>65093.1</c:v>
                </c:pt>
                <c:pt idx="16">
                  <c:v>65138.1</c:v>
                </c:pt>
                <c:pt idx="17">
                  <c:v>65653.5</c:v>
                </c:pt>
                <c:pt idx="18">
                  <c:v>66573.7</c:v>
                </c:pt>
                <c:pt idx="19">
                  <c:v>70661.7</c:v>
                </c:pt>
                <c:pt idx="20">
                  <c:v>67958.3</c:v>
                </c:pt>
                <c:pt idx="21">
                  <c:v>66649.2</c:v>
                </c:pt>
                <c:pt idx="22">
                  <c:v>62650.1</c:v>
                </c:pt>
                <c:pt idx="23">
                  <c:v>66288.7</c:v>
                </c:pt>
                <c:pt idx="24">
                  <c:v>65790</c:v>
                </c:pt>
                <c:pt idx="25">
                  <c:v>65896.5</c:v>
                </c:pt>
                <c:pt idx="26">
                  <c:v>63930.400000000001</c:v>
                </c:pt>
                <c:pt idx="27">
                  <c:v>67426.399999999994</c:v>
                </c:pt>
              </c:numCache>
            </c:numRef>
          </c:val>
          <c:smooth val="0"/>
          <c:extLst>
            <c:ext xmlns:c16="http://schemas.microsoft.com/office/drawing/2014/chart" uri="{C3380CC4-5D6E-409C-BE32-E72D297353CC}">
              <c16:uniqueId val="{00000003-13F7-4AF6-817B-F73891ABE143}"/>
            </c:ext>
          </c:extLst>
        </c:ser>
        <c:ser>
          <c:idx val="3"/>
          <c:order val="3"/>
          <c:tx>
            <c:strRef>
              <c:f>'Bitcoin Dashboard'!$J$1</c:f>
              <c:strCache>
                <c:ptCount val="1"/>
                <c:pt idx="0">
                  <c:v>Close</c:v>
                </c:pt>
              </c:strCache>
            </c:strRef>
          </c:tx>
          <c:spPr>
            <a:ln w="38100" cap="rnd">
              <a:noFill/>
              <a:round/>
            </a:ln>
            <a:effectLst/>
          </c:spPr>
          <c:marker>
            <c:symbol val="none"/>
          </c:marker>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Dashboard'!$J$2:$J$29</c:f>
              <c:numCache>
                <c:formatCode>#,##0.00</c:formatCode>
                <c:ptCount val="28"/>
                <c:pt idx="0">
                  <c:v>68870.217180000007</c:v>
                </c:pt>
                <c:pt idx="1">
                  <c:v>68028.64572</c:v>
                </c:pt>
                <c:pt idx="2">
                  <c:v>65874.743969999996</c:v>
                </c:pt>
                <c:pt idx="3">
                  <c:v>68432.916369999992</c:v>
                </c:pt>
                <c:pt idx="4">
                  <c:v>70144.932000000001</c:v>
                </c:pt>
                <c:pt idx="5">
                  <c:v>68894.400569999998</c:v>
                </c:pt>
                <c:pt idx="6">
                  <c:v>64657.076000000001</c:v>
                </c:pt>
                <c:pt idx="7">
                  <c:v>68833.703600000008</c:v>
                </c:pt>
                <c:pt idx="8">
                  <c:v>69321.27</c:v>
                </c:pt>
                <c:pt idx="9">
                  <c:v>69730.355970000004</c:v>
                </c:pt>
                <c:pt idx="10">
                  <c:v>68004.496380000011</c:v>
                </c:pt>
                <c:pt idx="11">
                  <c:v>67008.073649999991</c:v>
                </c:pt>
                <c:pt idx="12">
                  <c:v>70344.718240000002</c:v>
                </c:pt>
                <c:pt idx="13">
                  <c:v>68826.8217</c:v>
                </c:pt>
                <c:pt idx="14">
                  <c:v>67635.783800000005</c:v>
                </c:pt>
                <c:pt idx="15">
                  <c:v>65758.071119999993</c:v>
                </c:pt>
                <c:pt idx="16">
                  <c:v>66250.919280000002</c:v>
                </c:pt>
                <c:pt idx="17">
                  <c:v>66971.846919999996</c:v>
                </c:pt>
                <c:pt idx="18">
                  <c:v>67490.89344</c:v>
                </c:pt>
                <c:pt idx="19">
                  <c:v>70860.222630000004</c:v>
                </c:pt>
                <c:pt idx="20">
                  <c:v>68804.39323999999</c:v>
                </c:pt>
                <c:pt idx="21">
                  <c:v>67490.945179999995</c:v>
                </c:pt>
                <c:pt idx="22">
                  <c:v>64040.975599999998</c:v>
                </c:pt>
                <c:pt idx="23">
                  <c:v>68327.96136999999</c:v>
                </c:pt>
                <c:pt idx="24">
                  <c:v>67047.684479999996</c:v>
                </c:pt>
                <c:pt idx="25">
                  <c:v>66476.51492999999</c:v>
                </c:pt>
                <c:pt idx="26">
                  <c:v>67991.373479999995</c:v>
                </c:pt>
                <c:pt idx="27">
                  <c:v>72766.886429999999</c:v>
                </c:pt>
              </c:numCache>
            </c:numRef>
          </c:val>
          <c:smooth val="0"/>
          <c:extLst>
            <c:ext xmlns:c16="http://schemas.microsoft.com/office/drawing/2014/chart" uri="{C3380CC4-5D6E-409C-BE32-E72D297353CC}">
              <c16:uniqueId val="{00000004-13F7-4AF6-817B-F73891ABE14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6">
                  <a:lumMod val="20000"/>
                  <a:lumOff val="80000"/>
                </a:schemeClr>
              </a:solidFill>
              <a:ln w="9525" cap="flat" cmpd="sng" algn="ctr">
                <a:solidFill>
                  <a:schemeClr val="tx1">
                    <a:lumMod val="65000"/>
                    <a:lumOff val="35000"/>
                  </a:schemeClr>
                </a:solidFill>
                <a:round/>
              </a:ln>
              <a:effectLst/>
            </c:spPr>
          </c:upBars>
          <c:downBars>
            <c:spPr>
              <a:solidFill>
                <a:srgbClr val="F68080"/>
              </a:solidFill>
              <a:ln w="9525" cap="flat" cmpd="sng" algn="ctr">
                <a:solidFill>
                  <a:schemeClr val="accent1"/>
                </a:solidFill>
                <a:round/>
              </a:ln>
              <a:effectLst/>
            </c:spPr>
          </c:downBars>
        </c:upDownBars>
        <c:axId val="1104223631"/>
        <c:axId val="1104224111"/>
      </c:stockChart>
      <c:dateAx>
        <c:axId val="1104223631"/>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24111"/>
        <c:crosses val="autoZero"/>
        <c:auto val="1"/>
        <c:lblOffset val="100"/>
        <c:baseTimeUnit val="days"/>
      </c:dateAx>
      <c:valAx>
        <c:axId val="1104224111"/>
        <c:scaling>
          <c:orientation val="minMax"/>
          <c:min val="6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23631"/>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Bitcoin Price vs Trading Volume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'Bitcoin Dashboard'!$J$1</c:f>
              <c:strCache>
                <c:ptCount val="1"/>
                <c:pt idx="0">
                  <c:v>Close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44450" cap="rnd">
                <a:solidFill>
                  <a:srgbClr val="F68080"/>
                </a:solidFill>
                <a:prstDash val="sysDot"/>
              </a:ln>
              <a:effectLst/>
            </c:spPr>
            <c:trendlineType val="linear"/>
            <c:dispRSqr val="1"/>
            <c:dispEq val="0"/>
            <c:trendlineLbl>
              <c:layout>
                <c:manualLayout>
                  <c:x val="7.2720174937856583E-2"/>
                  <c:y val="-5.19321895786648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'Bitcoin Dashboard'!$H$2:$H$29</c:f>
              <c:numCache>
                <c:formatCode>General</c:formatCode>
                <c:ptCount val="28"/>
                <c:pt idx="0">
                  <c:v>70100</c:v>
                </c:pt>
                <c:pt idx="1">
                  <c:v>90380</c:v>
                </c:pt>
                <c:pt idx="2">
                  <c:v>75210</c:v>
                </c:pt>
                <c:pt idx="3">
                  <c:v>77700</c:v>
                </c:pt>
                <c:pt idx="4">
                  <c:v>89050</c:v>
                </c:pt>
                <c:pt idx="5">
                  <c:v>52190</c:v>
                </c:pt>
                <c:pt idx="6">
                  <c:v>108840</c:v>
                </c:pt>
                <c:pt idx="7">
                  <c:v>108800</c:v>
                </c:pt>
                <c:pt idx="8">
                  <c:v>113640</c:v>
                </c:pt>
                <c:pt idx="9">
                  <c:v>56530</c:v>
                </c:pt>
                <c:pt idx="10">
                  <c:v>31400</c:v>
                </c:pt>
                <c:pt idx="11">
                  <c:v>78940</c:v>
                </c:pt>
                <c:pt idx="12">
                  <c:v>64849.999999999993</c:v>
                </c:pt>
                <c:pt idx="13">
                  <c:v>59220</c:v>
                </c:pt>
                <c:pt idx="14">
                  <c:v>32600</c:v>
                </c:pt>
                <c:pt idx="15">
                  <c:v>71350</c:v>
                </c:pt>
                <c:pt idx="16">
                  <c:v>79760</c:v>
                </c:pt>
                <c:pt idx="17">
                  <c:v>53720</c:v>
                </c:pt>
                <c:pt idx="18">
                  <c:v>72070</c:v>
                </c:pt>
                <c:pt idx="19">
                  <c:v>89380</c:v>
                </c:pt>
                <c:pt idx="20">
                  <c:v>70290</c:v>
                </c:pt>
                <c:pt idx="21">
                  <c:v>54940</c:v>
                </c:pt>
                <c:pt idx="22">
                  <c:v>79660</c:v>
                </c:pt>
                <c:pt idx="23">
                  <c:v>80590</c:v>
                </c:pt>
                <c:pt idx="24">
                  <c:v>89970</c:v>
                </c:pt>
                <c:pt idx="25">
                  <c:v>56700</c:v>
                </c:pt>
                <c:pt idx="26">
                  <c:v>105590</c:v>
                </c:pt>
                <c:pt idx="27">
                  <c:v>136550</c:v>
                </c:pt>
              </c:numCache>
            </c:numRef>
          </c:xVal>
          <c:yVal>
            <c:numRef>
              <c:f>'Bitcoin Dashboard'!$J$2:$J$29</c:f>
              <c:numCache>
                <c:formatCode>#,##0.00</c:formatCode>
                <c:ptCount val="28"/>
                <c:pt idx="0">
                  <c:v>68870.217180000007</c:v>
                </c:pt>
                <c:pt idx="1">
                  <c:v>68028.64572</c:v>
                </c:pt>
                <c:pt idx="2">
                  <c:v>65874.743969999996</c:v>
                </c:pt>
                <c:pt idx="3">
                  <c:v>68432.916369999992</c:v>
                </c:pt>
                <c:pt idx="4">
                  <c:v>70144.932000000001</c:v>
                </c:pt>
                <c:pt idx="5">
                  <c:v>68894.400569999998</c:v>
                </c:pt>
                <c:pt idx="6">
                  <c:v>64657.076000000001</c:v>
                </c:pt>
                <c:pt idx="7">
                  <c:v>68833.703600000008</c:v>
                </c:pt>
                <c:pt idx="8">
                  <c:v>69321.27</c:v>
                </c:pt>
                <c:pt idx="9">
                  <c:v>69730.355970000004</c:v>
                </c:pt>
                <c:pt idx="10">
                  <c:v>68004.496380000011</c:v>
                </c:pt>
                <c:pt idx="11">
                  <c:v>67008.073649999991</c:v>
                </c:pt>
                <c:pt idx="12">
                  <c:v>70344.718240000002</c:v>
                </c:pt>
                <c:pt idx="13">
                  <c:v>68826.8217</c:v>
                </c:pt>
                <c:pt idx="14">
                  <c:v>67635.783800000005</c:v>
                </c:pt>
                <c:pt idx="15">
                  <c:v>65758.071119999993</c:v>
                </c:pt>
                <c:pt idx="16">
                  <c:v>66250.919280000002</c:v>
                </c:pt>
                <c:pt idx="17">
                  <c:v>66971.846919999996</c:v>
                </c:pt>
                <c:pt idx="18">
                  <c:v>67490.89344</c:v>
                </c:pt>
                <c:pt idx="19">
                  <c:v>70860.222630000004</c:v>
                </c:pt>
                <c:pt idx="20">
                  <c:v>68804.39323999999</c:v>
                </c:pt>
                <c:pt idx="21">
                  <c:v>67490.945179999995</c:v>
                </c:pt>
                <c:pt idx="22">
                  <c:v>64040.975599999998</c:v>
                </c:pt>
                <c:pt idx="23">
                  <c:v>68327.96136999999</c:v>
                </c:pt>
                <c:pt idx="24">
                  <c:v>67047.684479999996</c:v>
                </c:pt>
                <c:pt idx="25">
                  <c:v>66476.51492999999</c:v>
                </c:pt>
                <c:pt idx="26">
                  <c:v>67991.373479999995</c:v>
                </c:pt>
                <c:pt idx="27">
                  <c:v>72766.886429999999</c:v>
                </c:pt>
              </c:numCache>
            </c:numRef>
          </c:yVal>
          <c:smooth val="0"/>
          <c:extLst>
            <c:ext xmlns:c16="http://schemas.microsoft.com/office/drawing/2014/chart" uri="{C3380CC4-5D6E-409C-BE32-E72D297353CC}">
              <c16:uniqueId val="{00000001-D0F8-4A02-9305-1A6A75BB7B8B}"/>
            </c:ext>
          </c:extLst>
        </c:ser>
        <c:dLbls>
          <c:showLegendKey val="0"/>
          <c:showVal val="0"/>
          <c:showCatName val="0"/>
          <c:showSerName val="0"/>
          <c:showPercent val="0"/>
          <c:showBubbleSize val="0"/>
        </c:dLbls>
        <c:axId val="39771216"/>
        <c:axId val="938500208"/>
      </c:scatterChart>
      <c:valAx>
        <c:axId val="39771216"/>
        <c:scaling>
          <c:orientation val="minMax"/>
          <c:min val="2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Volume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00208"/>
        <c:crosses val="autoZero"/>
        <c:crossBetween val="midCat"/>
      </c:valAx>
      <c:valAx>
        <c:axId val="938500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Bitcoin</a:t>
                </a:r>
                <a:r>
                  <a:rPr lang="tr-TR"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1216"/>
        <c:crosses val="autoZero"/>
        <c:crossBetween val="midCat"/>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Bitcoin Price Trend with 20-Day Bollinger Bands Indicator</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852187347529594E-2"/>
          <c:y val="9.0018307867736791E-2"/>
          <c:w val="0.9350765280367227"/>
          <c:h val="0.87123193273603239"/>
        </c:manualLayout>
      </c:layout>
      <c:lineChart>
        <c:grouping val="standard"/>
        <c:varyColors val="0"/>
        <c:ser>
          <c:idx val="0"/>
          <c:order val="0"/>
          <c:tx>
            <c:strRef>
              <c:f>'Bitcoin Dashboard'!$J$1</c:f>
              <c:strCache>
                <c:ptCount val="1"/>
                <c:pt idx="0">
                  <c:v>Close</c:v>
                </c:pt>
              </c:strCache>
            </c:strRef>
          </c:tx>
          <c:spPr>
            <a:ln w="50800" cap="rnd">
              <a:solidFill>
                <a:schemeClr val="accent1"/>
              </a:solidFill>
              <a:round/>
            </a:ln>
            <a:effectLst/>
          </c:spPr>
          <c:marker>
            <c:symbol val="none"/>
          </c:marker>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Dashboard'!$J$2:$J$29</c:f>
              <c:numCache>
                <c:formatCode>#,##0.00</c:formatCode>
                <c:ptCount val="28"/>
                <c:pt idx="0">
                  <c:v>68870.217180000007</c:v>
                </c:pt>
                <c:pt idx="1">
                  <c:v>68028.64572</c:v>
                </c:pt>
                <c:pt idx="2">
                  <c:v>65874.743969999996</c:v>
                </c:pt>
                <c:pt idx="3">
                  <c:v>68432.916369999992</c:v>
                </c:pt>
                <c:pt idx="4">
                  <c:v>70144.932000000001</c:v>
                </c:pt>
                <c:pt idx="5">
                  <c:v>68894.400569999998</c:v>
                </c:pt>
                <c:pt idx="6">
                  <c:v>64657.076000000001</c:v>
                </c:pt>
                <c:pt idx="7">
                  <c:v>68833.703600000008</c:v>
                </c:pt>
                <c:pt idx="8">
                  <c:v>69321.27</c:v>
                </c:pt>
                <c:pt idx="9">
                  <c:v>69730.355970000004</c:v>
                </c:pt>
                <c:pt idx="10">
                  <c:v>68004.496380000011</c:v>
                </c:pt>
                <c:pt idx="11">
                  <c:v>67008.073649999991</c:v>
                </c:pt>
                <c:pt idx="12">
                  <c:v>70344.718240000002</c:v>
                </c:pt>
                <c:pt idx="13">
                  <c:v>68826.8217</c:v>
                </c:pt>
                <c:pt idx="14">
                  <c:v>67635.783800000005</c:v>
                </c:pt>
                <c:pt idx="15">
                  <c:v>65758.071119999993</c:v>
                </c:pt>
                <c:pt idx="16">
                  <c:v>66250.919280000002</c:v>
                </c:pt>
                <c:pt idx="17">
                  <c:v>66971.846919999996</c:v>
                </c:pt>
                <c:pt idx="18">
                  <c:v>67490.89344</c:v>
                </c:pt>
                <c:pt idx="19">
                  <c:v>70860.222630000004</c:v>
                </c:pt>
                <c:pt idx="20">
                  <c:v>68804.39323999999</c:v>
                </c:pt>
                <c:pt idx="21">
                  <c:v>67490.945179999995</c:v>
                </c:pt>
                <c:pt idx="22">
                  <c:v>64040.975599999998</c:v>
                </c:pt>
                <c:pt idx="23">
                  <c:v>68327.96136999999</c:v>
                </c:pt>
                <c:pt idx="24">
                  <c:v>67047.684479999996</c:v>
                </c:pt>
                <c:pt idx="25">
                  <c:v>66476.51492999999</c:v>
                </c:pt>
                <c:pt idx="26">
                  <c:v>67991.373479999995</c:v>
                </c:pt>
                <c:pt idx="27">
                  <c:v>72766.886429999999</c:v>
                </c:pt>
              </c:numCache>
            </c:numRef>
          </c:val>
          <c:smooth val="1"/>
          <c:extLst>
            <c:ext xmlns:c16="http://schemas.microsoft.com/office/drawing/2014/chart" uri="{C3380CC4-5D6E-409C-BE32-E72D297353CC}">
              <c16:uniqueId val="{00000000-7B87-4986-9C8C-2CC7D7ECB979}"/>
            </c:ext>
          </c:extLst>
        </c:ser>
        <c:ser>
          <c:idx val="1"/>
          <c:order val="1"/>
          <c:tx>
            <c:strRef>
              <c:f>'Bitcoin Dashboard'!$K$1</c:f>
              <c:strCache>
                <c:ptCount val="1"/>
                <c:pt idx="0">
                  <c:v>20-Day MA</c:v>
                </c:pt>
              </c:strCache>
            </c:strRef>
          </c:tx>
          <c:spPr>
            <a:ln w="41275" cap="rnd">
              <a:solidFill>
                <a:srgbClr val="FFC000"/>
              </a:solidFill>
              <a:round/>
            </a:ln>
            <a:effectLst/>
          </c:spPr>
          <c:marker>
            <c:symbol val="none"/>
          </c:marker>
          <c:dLbls>
            <c:dLbl>
              <c:idx val="20"/>
              <c:delete val="1"/>
              <c:extLst>
                <c:ext xmlns:c15="http://schemas.microsoft.com/office/drawing/2012/chart" uri="{CE6537A1-D6FC-4f65-9D91-7224C49458BB}"/>
                <c:ext xmlns:c16="http://schemas.microsoft.com/office/drawing/2014/chart" uri="{C3380CC4-5D6E-409C-BE32-E72D297353CC}">
                  <c16:uniqueId val="{00000001-7B87-4986-9C8C-2CC7D7ECB979}"/>
                </c:ext>
              </c:extLst>
            </c:dLbl>
            <c:dLbl>
              <c:idx val="21"/>
              <c:delete val="1"/>
              <c:extLst>
                <c:ext xmlns:c15="http://schemas.microsoft.com/office/drawing/2012/chart" uri="{CE6537A1-D6FC-4f65-9D91-7224C49458BB}"/>
                <c:ext xmlns:c16="http://schemas.microsoft.com/office/drawing/2014/chart" uri="{C3380CC4-5D6E-409C-BE32-E72D297353CC}">
                  <c16:uniqueId val="{00000002-7B87-4986-9C8C-2CC7D7ECB979}"/>
                </c:ext>
              </c:extLst>
            </c:dLbl>
            <c:dLbl>
              <c:idx val="22"/>
              <c:delete val="1"/>
              <c:extLst>
                <c:ext xmlns:c15="http://schemas.microsoft.com/office/drawing/2012/chart" uri="{CE6537A1-D6FC-4f65-9D91-7224C49458BB}"/>
                <c:ext xmlns:c16="http://schemas.microsoft.com/office/drawing/2014/chart" uri="{C3380CC4-5D6E-409C-BE32-E72D297353CC}">
                  <c16:uniqueId val="{00000003-7B87-4986-9C8C-2CC7D7ECB979}"/>
                </c:ext>
              </c:extLst>
            </c:dLbl>
            <c:dLbl>
              <c:idx val="23"/>
              <c:delete val="1"/>
              <c:extLst>
                <c:ext xmlns:c15="http://schemas.microsoft.com/office/drawing/2012/chart" uri="{CE6537A1-D6FC-4f65-9D91-7224C49458BB}"/>
                <c:ext xmlns:c16="http://schemas.microsoft.com/office/drawing/2014/chart" uri="{C3380CC4-5D6E-409C-BE32-E72D297353CC}">
                  <c16:uniqueId val="{00000004-7B87-4986-9C8C-2CC7D7ECB979}"/>
                </c:ext>
              </c:extLst>
            </c:dLbl>
            <c:dLbl>
              <c:idx val="24"/>
              <c:delete val="1"/>
              <c:extLst>
                <c:ext xmlns:c15="http://schemas.microsoft.com/office/drawing/2012/chart" uri="{CE6537A1-D6FC-4f65-9D91-7224C49458BB}"/>
                <c:ext xmlns:c16="http://schemas.microsoft.com/office/drawing/2014/chart" uri="{C3380CC4-5D6E-409C-BE32-E72D297353CC}">
                  <c16:uniqueId val="{00000005-7B87-4986-9C8C-2CC7D7ECB979}"/>
                </c:ext>
              </c:extLst>
            </c:dLbl>
            <c:dLbl>
              <c:idx val="25"/>
              <c:delete val="1"/>
              <c:extLst>
                <c:ext xmlns:c15="http://schemas.microsoft.com/office/drawing/2012/chart" uri="{CE6537A1-D6FC-4f65-9D91-7224C49458BB}"/>
                <c:ext xmlns:c16="http://schemas.microsoft.com/office/drawing/2014/chart" uri="{C3380CC4-5D6E-409C-BE32-E72D297353CC}">
                  <c16:uniqueId val="{00000006-7B87-4986-9C8C-2CC7D7ECB979}"/>
                </c:ext>
              </c:extLst>
            </c:dLbl>
            <c:dLbl>
              <c:idx val="26"/>
              <c:delete val="1"/>
              <c:extLst>
                <c:ext xmlns:c15="http://schemas.microsoft.com/office/drawing/2012/chart" uri="{CE6537A1-D6FC-4f65-9D91-7224C49458BB}"/>
                <c:ext xmlns:c16="http://schemas.microsoft.com/office/drawing/2014/chart" uri="{C3380CC4-5D6E-409C-BE32-E72D297353CC}">
                  <c16:uniqueId val="{00000007-7B87-4986-9C8C-2CC7D7ECB979}"/>
                </c:ext>
              </c:extLst>
            </c:dLbl>
            <c:dLbl>
              <c:idx val="27"/>
              <c:layout>
                <c:manualLayout>
                  <c:x val="-1.2860567837627663E-3"/>
                  <c:y val="3.6258225472652096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7B87-4986-9C8C-2CC7D7ECB9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Dashboard'!$K$2:$K$29</c:f>
              <c:numCache>
                <c:formatCode>#,##0.00</c:formatCode>
                <c:ptCount val="28"/>
                <c:pt idx="2">
                  <c:v>67591.202290000001</c:v>
                </c:pt>
                <c:pt idx="3">
                  <c:v>67801.630810000002</c:v>
                </c:pt>
                <c:pt idx="7">
                  <c:v>67967.079426250013</c:v>
                </c:pt>
                <c:pt idx="11">
                  <c:v>68150.06928416669</c:v>
                </c:pt>
                <c:pt idx="15">
                  <c:v>68147.889141875014</c:v>
                </c:pt>
                <c:pt idx="18">
                  <c:v>67951.572942631596</c:v>
                </c:pt>
                <c:pt idx="19">
                  <c:v>68097.005427000011</c:v>
                </c:pt>
                <c:pt idx="23">
                  <c:v>67969.893034499997</c:v>
                </c:pt>
                <c:pt idx="27">
                  <c:v>68057.510392000011</c:v>
                </c:pt>
              </c:numCache>
            </c:numRef>
          </c:val>
          <c:smooth val="0"/>
          <c:extLst>
            <c:ext xmlns:c16="http://schemas.microsoft.com/office/drawing/2014/chart" uri="{C3380CC4-5D6E-409C-BE32-E72D297353CC}">
              <c16:uniqueId val="{00000009-7B87-4986-9C8C-2CC7D7ECB979}"/>
            </c:ext>
          </c:extLst>
        </c:ser>
        <c:ser>
          <c:idx val="2"/>
          <c:order val="2"/>
          <c:tx>
            <c:strRef>
              <c:f>'Bitcoin Dashboard'!$M$1</c:f>
              <c:strCache>
                <c:ptCount val="1"/>
                <c:pt idx="0">
                  <c:v>Upper_Band</c:v>
                </c:pt>
              </c:strCache>
            </c:strRef>
          </c:tx>
          <c:spPr>
            <a:ln w="41275" cap="rnd">
              <a:solidFill>
                <a:srgbClr val="FF0000"/>
              </a:solidFill>
              <a:round/>
            </a:ln>
            <a:effectLst/>
          </c:spPr>
          <c:marker>
            <c:symbol val="none"/>
          </c:marker>
          <c:dLbls>
            <c:dLbl>
              <c:idx val="20"/>
              <c:delete val="1"/>
              <c:extLst>
                <c:ext xmlns:c15="http://schemas.microsoft.com/office/drawing/2012/chart" uri="{CE6537A1-D6FC-4f65-9D91-7224C49458BB}"/>
                <c:ext xmlns:c16="http://schemas.microsoft.com/office/drawing/2014/chart" uri="{C3380CC4-5D6E-409C-BE32-E72D297353CC}">
                  <c16:uniqueId val="{0000000A-7B87-4986-9C8C-2CC7D7ECB979}"/>
                </c:ext>
              </c:extLst>
            </c:dLbl>
            <c:dLbl>
              <c:idx val="21"/>
              <c:delete val="1"/>
              <c:extLst>
                <c:ext xmlns:c15="http://schemas.microsoft.com/office/drawing/2012/chart" uri="{CE6537A1-D6FC-4f65-9D91-7224C49458BB}"/>
                <c:ext xmlns:c16="http://schemas.microsoft.com/office/drawing/2014/chart" uri="{C3380CC4-5D6E-409C-BE32-E72D297353CC}">
                  <c16:uniqueId val="{0000000B-7B87-4986-9C8C-2CC7D7ECB979}"/>
                </c:ext>
              </c:extLst>
            </c:dLbl>
            <c:dLbl>
              <c:idx val="22"/>
              <c:delete val="1"/>
              <c:extLst>
                <c:ext xmlns:c15="http://schemas.microsoft.com/office/drawing/2012/chart" uri="{CE6537A1-D6FC-4f65-9D91-7224C49458BB}"/>
                <c:ext xmlns:c16="http://schemas.microsoft.com/office/drawing/2014/chart" uri="{C3380CC4-5D6E-409C-BE32-E72D297353CC}">
                  <c16:uniqueId val="{0000000C-7B87-4986-9C8C-2CC7D7ECB979}"/>
                </c:ext>
              </c:extLst>
            </c:dLbl>
            <c:dLbl>
              <c:idx val="23"/>
              <c:delete val="1"/>
              <c:extLst>
                <c:ext xmlns:c15="http://schemas.microsoft.com/office/drawing/2012/chart" uri="{CE6537A1-D6FC-4f65-9D91-7224C49458BB}"/>
                <c:ext xmlns:c16="http://schemas.microsoft.com/office/drawing/2014/chart" uri="{C3380CC4-5D6E-409C-BE32-E72D297353CC}">
                  <c16:uniqueId val="{0000000D-7B87-4986-9C8C-2CC7D7ECB979}"/>
                </c:ext>
              </c:extLst>
            </c:dLbl>
            <c:dLbl>
              <c:idx val="24"/>
              <c:delete val="1"/>
              <c:extLst>
                <c:ext xmlns:c15="http://schemas.microsoft.com/office/drawing/2012/chart" uri="{CE6537A1-D6FC-4f65-9D91-7224C49458BB}"/>
                <c:ext xmlns:c16="http://schemas.microsoft.com/office/drawing/2014/chart" uri="{C3380CC4-5D6E-409C-BE32-E72D297353CC}">
                  <c16:uniqueId val="{0000000E-7B87-4986-9C8C-2CC7D7ECB979}"/>
                </c:ext>
              </c:extLst>
            </c:dLbl>
            <c:dLbl>
              <c:idx val="25"/>
              <c:delete val="1"/>
              <c:extLst>
                <c:ext xmlns:c15="http://schemas.microsoft.com/office/drawing/2012/chart" uri="{CE6537A1-D6FC-4f65-9D91-7224C49458BB}"/>
                <c:ext xmlns:c16="http://schemas.microsoft.com/office/drawing/2014/chart" uri="{C3380CC4-5D6E-409C-BE32-E72D297353CC}">
                  <c16:uniqueId val="{0000000F-7B87-4986-9C8C-2CC7D7ECB979}"/>
                </c:ext>
              </c:extLst>
            </c:dLbl>
            <c:dLbl>
              <c:idx val="26"/>
              <c:layout>
                <c:manualLayout>
                  <c:x val="9.902913171937823E-2"/>
                  <c:y val="-2.7478892349317156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7B87-4986-9C8C-2CC7D7ECB979}"/>
                </c:ext>
              </c:extLst>
            </c:dLbl>
            <c:dLbl>
              <c:idx val="27"/>
              <c:delete val="1"/>
              <c:extLst>
                <c:ext xmlns:c15="http://schemas.microsoft.com/office/drawing/2012/chart" uri="{CE6537A1-D6FC-4f65-9D91-7224C49458BB}"/>
                <c:ext xmlns:c16="http://schemas.microsoft.com/office/drawing/2014/chart" uri="{C3380CC4-5D6E-409C-BE32-E72D297353CC}">
                  <c16:uniqueId val="{00000011-7B87-4986-9C8C-2CC7D7ECB97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Dashboard'!$M$2:$M$29</c:f>
              <c:numCache>
                <c:formatCode>#,##0.00</c:formatCode>
                <c:ptCount val="28"/>
                <c:pt idx="2">
                  <c:v>70114.022142886621</c:v>
                </c:pt>
                <c:pt idx="3">
                  <c:v>70104.851805028884</c:v>
                </c:pt>
                <c:pt idx="7">
                  <c:v>71337.869126555262</c:v>
                </c:pt>
                <c:pt idx="11">
                  <c:v>71215.287674278807</c:v>
                </c:pt>
                <c:pt idx="15">
                  <c:v>71288.240950876512</c:v>
                </c:pt>
                <c:pt idx="18">
                  <c:v>70999.54691345396</c:v>
                </c:pt>
                <c:pt idx="19">
                  <c:v>71327.033945635339</c:v>
                </c:pt>
                <c:pt idx="23">
                  <c:v>71535.306993246675</c:v>
                </c:pt>
                <c:pt idx="27">
                  <c:v>71857.33057734149</c:v>
                </c:pt>
              </c:numCache>
            </c:numRef>
          </c:val>
          <c:smooth val="1"/>
          <c:extLst>
            <c:ext xmlns:c16="http://schemas.microsoft.com/office/drawing/2014/chart" uri="{C3380CC4-5D6E-409C-BE32-E72D297353CC}">
              <c16:uniqueId val="{00000012-7B87-4986-9C8C-2CC7D7ECB979}"/>
            </c:ext>
          </c:extLst>
        </c:ser>
        <c:ser>
          <c:idx val="3"/>
          <c:order val="3"/>
          <c:tx>
            <c:strRef>
              <c:f>'Bitcoin Dashboard'!$N$1</c:f>
              <c:strCache>
                <c:ptCount val="1"/>
                <c:pt idx="0">
                  <c:v>Lower_Band</c:v>
                </c:pt>
              </c:strCache>
            </c:strRef>
          </c:tx>
          <c:spPr>
            <a:ln w="41275" cap="rnd">
              <a:solidFill>
                <a:schemeClr val="accent6"/>
              </a:solidFill>
              <a:round/>
            </a:ln>
            <a:effectLst/>
          </c:spPr>
          <c:marker>
            <c:symbol val="none"/>
          </c:marker>
          <c:dLbls>
            <c:dLbl>
              <c:idx val="20"/>
              <c:delete val="1"/>
              <c:extLst>
                <c:ext xmlns:c15="http://schemas.microsoft.com/office/drawing/2012/chart" uri="{CE6537A1-D6FC-4f65-9D91-7224C49458BB}"/>
                <c:ext xmlns:c16="http://schemas.microsoft.com/office/drawing/2014/chart" uri="{C3380CC4-5D6E-409C-BE32-E72D297353CC}">
                  <c16:uniqueId val="{00000013-7B87-4986-9C8C-2CC7D7ECB979}"/>
                </c:ext>
              </c:extLst>
            </c:dLbl>
            <c:dLbl>
              <c:idx val="21"/>
              <c:delete val="1"/>
              <c:extLst>
                <c:ext xmlns:c15="http://schemas.microsoft.com/office/drawing/2012/chart" uri="{CE6537A1-D6FC-4f65-9D91-7224C49458BB}"/>
                <c:ext xmlns:c16="http://schemas.microsoft.com/office/drawing/2014/chart" uri="{C3380CC4-5D6E-409C-BE32-E72D297353CC}">
                  <c16:uniqueId val="{00000014-7B87-4986-9C8C-2CC7D7ECB979}"/>
                </c:ext>
              </c:extLst>
            </c:dLbl>
            <c:dLbl>
              <c:idx val="22"/>
              <c:delete val="1"/>
              <c:extLst>
                <c:ext xmlns:c15="http://schemas.microsoft.com/office/drawing/2012/chart" uri="{CE6537A1-D6FC-4f65-9D91-7224C49458BB}"/>
                <c:ext xmlns:c16="http://schemas.microsoft.com/office/drawing/2014/chart" uri="{C3380CC4-5D6E-409C-BE32-E72D297353CC}">
                  <c16:uniqueId val="{00000015-7B87-4986-9C8C-2CC7D7ECB979}"/>
                </c:ext>
              </c:extLst>
            </c:dLbl>
            <c:dLbl>
              <c:idx val="23"/>
              <c:delete val="1"/>
              <c:extLst>
                <c:ext xmlns:c15="http://schemas.microsoft.com/office/drawing/2012/chart" uri="{CE6537A1-D6FC-4f65-9D91-7224C49458BB}"/>
                <c:ext xmlns:c16="http://schemas.microsoft.com/office/drawing/2014/chart" uri="{C3380CC4-5D6E-409C-BE32-E72D297353CC}">
                  <c16:uniqueId val="{00000016-7B87-4986-9C8C-2CC7D7ECB979}"/>
                </c:ext>
              </c:extLst>
            </c:dLbl>
            <c:dLbl>
              <c:idx val="24"/>
              <c:delete val="1"/>
              <c:extLst>
                <c:ext xmlns:c15="http://schemas.microsoft.com/office/drawing/2012/chart" uri="{CE6537A1-D6FC-4f65-9D91-7224C49458BB}"/>
                <c:ext xmlns:c16="http://schemas.microsoft.com/office/drawing/2014/chart" uri="{C3380CC4-5D6E-409C-BE32-E72D297353CC}">
                  <c16:uniqueId val="{00000017-7B87-4986-9C8C-2CC7D7ECB979}"/>
                </c:ext>
              </c:extLst>
            </c:dLbl>
            <c:dLbl>
              <c:idx val="25"/>
              <c:delete val="1"/>
              <c:extLst>
                <c:ext xmlns:c15="http://schemas.microsoft.com/office/drawing/2012/chart" uri="{CE6537A1-D6FC-4f65-9D91-7224C49458BB}"/>
                <c:ext xmlns:c16="http://schemas.microsoft.com/office/drawing/2014/chart" uri="{C3380CC4-5D6E-409C-BE32-E72D297353CC}">
                  <c16:uniqueId val="{00000018-7B87-4986-9C8C-2CC7D7ECB979}"/>
                </c:ext>
              </c:extLst>
            </c:dLbl>
            <c:dLbl>
              <c:idx val="26"/>
              <c:delete val="1"/>
              <c:extLst>
                <c:ext xmlns:c15="http://schemas.microsoft.com/office/drawing/2012/chart" uri="{CE6537A1-D6FC-4f65-9D91-7224C49458BB}"/>
                <c:ext xmlns:c16="http://schemas.microsoft.com/office/drawing/2014/chart" uri="{C3380CC4-5D6E-409C-BE32-E72D297353CC}">
                  <c16:uniqueId val="{00000019-7B87-4986-9C8C-2CC7D7ECB979}"/>
                </c:ext>
              </c:extLst>
            </c:dLbl>
            <c:dLbl>
              <c:idx val="27"/>
              <c:layout>
                <c:manualLayout>
                  <c:x val="0"/>
                  <c:y val="-3.5933936149107108E-2"/>
                </c:manualLayout>
              </c:layout>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7B87-4986-9C8C-2CC7D7ECB979}"/>
                </c:ext>
              </c:extLst>
            </c:dLbl>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'Bitcoin Dashboard'!$A$2:$A$29</c:f>
              <c:numCache>
                <c:formatCode>m/d/yyyy</c:formatCode>
                <c:ptCount val="28"/>
                <c:pt idx="0">
                  <c:v>46066</c:v>
                </c:pt>
                <c:pt idx="1">
                  <c:v>46073</c:v>
                </c:pt>
                <c:pt idx="2">
                  <c:v>46080</c:v>
                </c:pt>
                <c:pt idx="3">
                  <c:v>46087</c:v>
                </c:pt>
                <c:pt idx="4">
                  <c:v>46062</c:v>
                </c:pt>
                <c:pt idx="5">
                  <c:v>46069</c:v>
                </c:pt>
                <c:pt idx="6">
                  <c:v>46076</c:v>
                </c:pt>
                <c:pt idx="7">
                  <c:v>46083</c:v>
                </c:pt>
                <c:pt idx="8">
                  <c:v>46060</c:v>
                </c:pt>
                <c:pt idx="9">
                  <c:v>46067</c:v>
                </c:pt>
                <c:pt idx="10">
                  <c:v>46074</c:v>
                </c:pt>
                <c:pt idx="11">
                  <c:v>46081</c:v>
                </c:pt>
                <c:pt idx="12">
                  <c:v>46061</c:v>
                </c:pt>
                <c:pt idx="13">
                  <c:v>46068</c:v>
                </c:pt>
                <c:pt idx="14">
                  <c:v>46075</c:v>
                </c:pt>
                <c:pt idx="15">
                  <c:v>46082</c:v>
                </c:pt>
                <c:pt idx="16">
                  <c:v>46065</c:v>
                </c:pt>
                <c:pt idx="17">
                  <c:v>46072</c:v>
                </c:pt>
                <c:pt idx="18">
                  <c:v>46079</c:v>
                </c:pt>
                <c:pt idx="19">
                  <c:v>46086</c:v>
                </c:pt>
                <c:pt idx="20">
                  <c:v>46063</c:v>
                </c:pt>
                <c:pt idx="21">
                  <c:v>46070</c:v>
                </c:pt>
                <c:pt idx="22">
                  <c:v>46077</c:v>
                </c:pt>
                <c:pt idx="23">
                  <c:v>46084</c:v>
                </c:pt>
                <c:pt idx="24">
                  <c:v>46064</c:v>
                </c:pt>
                <c:pt idx="25">
                  <c:v>46071</c:v>
                </c:pt>
                <c:pt idx="26">
                  <c:v>46078</c:v>
                </c:pt>
                <c:pt idx="27">
                  <c:v>46085</c:v>
                </c:pt>
              </c:numCache>
            </c:numRef>
          </c:cat>
          <c:val>
            <c:numRef>
              <c:f>'Bitcoin Dashboard'!$N$2:$N$29</c:f>
              <c:numCache>
                <c:formatCode>#,##0.00</c:formatCode>
                <c:ptCount val="28"/>
                <c:pt idx="2">
                  <c:v>65068.382437113389</c:v>
                </c:pt>
                <c:pt idx="3">
                  <c:v>65498.409814971128</c:v>
                </c:pt>
                <c:pt idx="7">
                  <c:v>64596.289725944764</c:v>
                </c:pt>
                <c:pt idx="11">
                  <c:v>65084.850894054565</c:v>
                </c:pt>
                <c:pt idx="15">
                  <c:v>65007.537332873515</c:v>
                </c:pt>
                <c:pt idx="18">
                  <c:v>64903.598971809231</c:v>
                </c:pt>
                <c:pt idx="19">
                  <c:v>64866.976908364682</c:v>
                </c:pt>
                <c:pt idx="23">
                  <c:v>64404.479075753326</c:v>
                </c:pt>
                <c:pt idx="27">
                  <c:v>64257.690206658539</c:v>
                </c:pt>
              </c:numCache>
            </c:numRef>
          </c:val>
          <c:smooth val="1"/>
          <c:extLst>
            <c:ext xmlns:c16="http://schemas.microsoft.com/office/drawing/2014/chart" uri="{C3380CC4-5D6E-409C-BE32-E72D297353CC}">
              <c16:uniqueId val="{0000001B-7B87-4986-9C8C-2CC7D7ECB979}"/>
            </c:ext>
          </c:extLst>
        </c:ser>
        <c:dLbls>
          <c:showLegendKey val="0"/>
          <c:showVal val="0"/>
          <c:showCatName val="0"/>
          <c:showSerName val="0"/>
          <c:showPercent val="0"/>
          <c:showBubbleSize val="0"/>
        </c:dLbls>
        <c:smooth val="0"/>
        <c:axId val="1153870735"/>
        <c:axId val="1153877935"/>
      </c:lineChart>
      <c:dateAx>
        <c:axId val="1153870735"/>
        <c:scaling>
          <c:orientation val="minMax"/>
          <c:min val="46080"/>
        </c:scaling>
        <c:delete val="0"/>
        <c:axPos val="b"/>
        <c:numFmt formatCode="m/d/yyyy" sourceLinked="1"/>
        <c:majorTickMark val="none"/>
        <c:minorTickMark val="none"/>
        <c:tickLblPos val="nextTo"/>
        <c:spPr>
          <a:noFill/>
          <a:ln w="381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53877935"/>
        <c:crosses val="autoZero"/>
        <c:auto val="1"/>
        <c:lblOffset val="100"/>
        <c:baseTimeUnit val="days"/>
      </c:dateAx>
      <c:valAx>
        <c:axId val="11538779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87073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Price &amp; Volume Activity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strRef>
              <c:f>'Bitcoin Historical Data'!$P$1</c:f>
              <c:strCache>
                <c:ptCount val="1"/>
                <c:pt idx="0">
                  <c:v>0.25</c:v>
                </c:pt>
              </c:strCache>
            </c:strRef>
          </c:tx>
          <c:spPr>
            <a:solidFill>
              <a:srgbClr val="FF0000"/>
            </a:solidFill>
            <a:ln w="127000">
              <a:solidFill>
                <a:srgbClr val="FF0000"/>
              </a:solidFill>
            </a:ln>
            <a:effectLst/>
          </c:spPr>
          <c:invertIfNegative val="0"/>
          <c:cat>
            <c:numRef>
              <c:f>'Bitcoin Historical Data'!$A$2:$A$29</c:f>
              <c:numCache>
                <c:formatCode>m/d/yyyy</c:formatCode>
                <c:ptCount val="28"/>
                <c:pt idx="0">
                  <c:v>46060</c:v>
                </c:pt>
                <c:pt idx="1">
                  <c:v>46061</c:v>
                </c:pt>
                <c:pt idx="2">
                  <c:v>46062</c:v>
                </c:pt>
                <c:pt idx="3">
                  <c:v>46063</c:v>
                </c:pt>
                <c:pt idx="4">
                  <c:v>46064</c:v>
                </c:pt>
                <c:pt idx="5">
                  <c:v>46065</c:v>
                </c:pt>
                <c:pt idx="6">
                  <c:v>46066</c:v>
                </c:pt>
                <c:pt idx="7">
                  <c:v>46067</c:v>
                </c:pt>
                <c:pt idx="8">
                  <c:v>46068</c:v>
                </c:pt>
                <c:pt idx="9">
                  <c:v>46069</c:v>
                </c:pt>
                <c:pt idx="10">
                  <c:v>46070</c:v>
                </c:pt>
                <c:pt idx="11">
                  <c:v>46071</c:v>
                </c:pt>
                <c:pt idx="12">
                  <c:v>46072</c:v>
                </c:pt>
                <c:pt idx="13">
                  <c:v>46073</c:v>
                </c:pt>
                <c:pt idx="14">
                  <c:v>46074</c:v>
                </c:pt>
                <c:pt idx="15">
                  <c:v>46075</c:v>
                </c:pt>
                <c:pt idx="16">
                  <c:v>46076</c:v>
                </c:pt>
                <c:pt idx="17">
                  <c:v>46077</c:v>
                </c:pt>
                <c:pt idx="18">
                  <c:v>46078</c:v>
                </c:pt>
                <c:pt idx="19">
                  <c:v>46079</c:v>
                </c:pt>
                <c:pt idx="20">
                  <c:v>46080</c:v>
                </c:pt>
                <c:pt idx="21">
                  <c:v>46081</c:v>
                </c:pt>
                <c:pt idx="22">
                  <c:v>46082</c:v>
                </c:pt>
                <c:pt idx="23">
                  <c:v>46083</c:v>
                </c:pt>
                <c:pt idx="24">
                  <c:v>46084</c:v>
                </c:pt>
                <c:pt idx="25">
                  <c:v>46085</c:v>
                </c:pt>
                <c:pt idx="26">
                  <c:v>46086</c:v>
                </c:pt>
                <c:pt idx="27">
                  <c:v>46087</c:v>
                </c:pt>
              </c:numCache>
            </c:numRef>
          </c:cat>
          <c:val>
            <c:numRef>
              <c:f>'Bitcoin Historical Data'!$P$2:$P$29</c:f>
              <c:numCache>
                <c:formatCode>General</c:formatCode>
                <c:ptCount val="28"/>
                <c:pt idx="0">
                  <c:v>0</c:v>
                </c:pt>
                <c:pt idx="1">
                  <c:v>0</c:v>
                </c:pt>
                <c:pt idx="2">
                  <c:v>0</c:v>
                </c:pt>
                <c:pt idx="3">
                  <c:v>0</c:v>
                </c:pt>
                <c:pt idx="4">
                  <c:v>0</c:v>
                </c:pt>
                <c:pt idx="5">
                  <c:v>0</c:v>
                </c:pt>
                <c:pt idx="6">
                  <c:v>0</c:v>
                </c:pt>
                <c:pt idx="7">
                  <c:v>56530</c:v>
                </c:pt>
                <c:pt idx="8">
                  <c:v>0</c:v>
                </c:pt>
                <c:pt idx="9">
                  <c:v>52190</c:v>
                </c:pt>
                <c:pt idx="10">
                  <c:v>54940</c:v>
                </c:pt>
                <c:pt idx="11">
                  <c:v>56700</c:v>
                </c:pt>
                <c:pt idx="12">
                  <c:v>53720</c:v>
                </c:pt>
                <c:pt idx="13">
                  <c:v>0</c:v>
                </c:pt>
                <c:pt idx="14">
                  <c:v>31400</c:v>
                </c:pt>
                <c:pt idx="15">
                  <c:v>32600</c:v>
                </c:pt>
                <c:pt idx="16">
                  <c:v>0</c:v>
                </c:pt>
                <c:pt idx="17">
                  <c:v>0</c:v>
                </c:pt>
                <c:pt idx="18">
                  <c:v>0</c:v>
                </c:pt>
                <c:pt idx="19">
                  <c:v>72070</c:v>
                </c:pt>
                <c:pt idx="20">
                  <c:v>75210</c:v>
                </c:pt>
                <c:pt idx="21">
                  <c:v>0</c:v>
                </c:pt>
                <c:pt idx="22">
                  <c:v>71350</c:v>
                </c:pt>
                <c:pt idx="23">
                  <c:v>0</c:v>
                </c:pt>
                <c:pt idx="24">
                  <c:v>0</c:v>
                </c:pt>
                <c:pt idx="25">
                  <c:v>0</c:v>
                </c:pt>
                <c:pt idx="26">
                  <c:v>0</c:v>
                </c:pt>
                <c:pt idx="27">
                  <c:v>0</c:v>
                </c:pt>
              </c:numCache>
            </c:numRef>
          </c:val>
          <c:extLst>
            <c:ext xmlns:c16="http://schemas.microsoft.com/office/drawing/2014/chart" uri="{C3380CC4-5D6E-409C-BE32-E72D297353CC}">
              <c16:uniqueId val="{00000000-126B-4C2B-9F87-616AC47A4AEB}"/>
            </c:ext>
          </c:extLst>
        </c:ser>
        <c:ser>
          <c:idx val="1"/>
          <c:order val="2"/>
          <c:tx>
            <c:strRef>
              <c:f>'Bitcoin Historical Data'!$Q$1</c:f>
              <c:strCache>
                <c:ptCount val="1"/>
                <c:pt idx="0">
                  <c:v>0.5</c:v>
                </c:pt>
              </c:strCache>
            </c:strRef>
          </c:tx>
          <c:spPr>
            <a:solidFill>
              <a:schemeClr val="accent2">
                <a:lumMod val="75000"/>
              </a:schemeClr>
            </a:solidFill>
            <a:ln w="127000">
              <a:solidFill>
                <a:schemeClr val="accent2">
                  <a:lumMod val="60000"/>
                  <a:lumOff val="40000"/>
                </a:schemeClr>
              </a:solidFill>
            </a:ln>
            <a:effectLst/>
          </c:spPr>
          <c:invertIfNegative val="0"/>
          <c:cat>
            <c:numRef>
              <c:f>'Bitcoin Historical Data'!$A$2:$A$29</c:f>
              <c:numCache>
                <c:formatCode>m/d/yyyy</c:formatCode>
                <c:ptCount val="28"/>
                <c:pt idx="0">
                  <c:v>46060</c:v>
                </c:pt>
                <c:pt idx="1">
                  <c:v>46061</c:v>
                </c:pt>
                <c:pt idx="2">
                  <c:v>46062</c:v>
                </c:pt>
                <c:pt idx="3">
                  <c:v>46063</c:v>
                </c:pt>
                <c:pt idx="4">
                  <c:v>46064</c:v>
                </c:pt>
                <c:pt idx="5">
                  <c:v>46065</c:v>
                </c:pt>
                <c:pt idx="6">
                  <c:v>46066</c:v>
                </c:pt>
                <c:pt idx="7">
                  <c:v>46067</c:v>
                </c:pt>
                <c:pt idx="8">
                  <c:v>46068</c:v>
                </c:pt>
                <c:pt idx="9">
                  <c:v>46069</c:v>
                </c:pt>
                <c:pt idx="10">
                  <c:v>46070</c:v>
                </c:pt>
                <c:pt idx="11">
                  <c:v>46071</c:v>
                </c:pt>
                <c:pt idx="12">
                  <c:v>46072</c:v>
                </c:pt>
                <c:pt idx="13">
                  <c:v>46073</c:v>
                </c:pt>
                <c:pt idx="14">
                  <c:v>46074</c:v>
                </c:pt>
                <c:pt idx="15">
                  <c:v>46075</c:v>
                </c:pt>
                <c:pt idx="16">
                  <c:v>46076</c:v>
                </c:pt>
                <c:pt idx="17">
                  <c:v>46077</c:v>
                </c:pt>
                <c:pt idx="18">
                  <c:v>46078</c:v>
                </c:pt>
                <c:pt idx="19">
                  <c:v>46079</c:v>
                </c:pt>
                <c:pt idx="20">
                  <c:v>46080</c:v>
                </c:pt>
                <c:pt idx="21">
                  <c:v>46081</c:v>
                </c:pt>
                <c:pt idx="22">
                  <c:v>46082</c:v>
                </c:pt>
                <c:pt idx="23">
                  <c:v>46083</c:v>
                </c:pt>
                <c:pt idx="24">
                  <c:v>46084</c:v>
                </c:pt>
                <c:pt idx="25">
                  <c:v>46085</c:v>
                </c:pt>
                <c:pt idx="26">
                  <c:v>46086</c:v>
                </c:pt>
                <c:pt idx="27">
                  <c:v>46087</c:v>
                </c:pt>
              </c:numCache>
            </c:numRef>
          </c:cat>
          <c:val>
            <c:numRef>
              <c:f>'Bitcoin Historical Data'!$Q$2:$Q$29</c:f>
              <c:numCache>
                <c:formatCode>General</c:formatCode>
                <c:ptCount val="28"/>
                <c:pt idx="0">
                  <c:v>0</c:v>
                </c:pt>
                <c:pt idx="1">
                  <c:v>64849.999999999993</c:v>
                </c:pt>
                <c:pt idx="2">
                  <c:v>0</c:v>
                </c:pt>
                <c:pt idx="3">
                  <c:v>70290</c:v>
                </c:pt>
                <c:pt idx="4">
                  <c:v>0</c:v>
                </c:pt>
                <c:pt idx="5">
                  <c:v>0</c:v>
                </c:pt>
                <c:pt idx="6">
                  <c:v>70100</c:v>
                </c:pt>
                <c:pt idx="7">
                  <c:v>0</c:v>
                </c:pt>
                <c:pt idx="8">
                  <c:v>59220</c:v>
                </c:pt>
                <c:pt idx="9">
                  <c:v>0</c:v>
                </c:pt>
                <c:pt idx="10">
                  <c:v>0</c:v>
                </c:pt>
                <c:pt idx="11">
                  <c:v>0</c:v>
                </c:pt>
                <c:pt idx="12">
                  <c:v>0</c:v>
                </c:pt>
                <c:pt idx="13">
                  <c:v>0</c:v>
                </c:pt>
                <c:pt idx="14">
                  <c:v>0</c:v>
                </c:pt>
                <c:pt idx="15">
                  <c:v>0</c:v>
                </c:pt>
                <c:pt idx="16">
                  <c:v>0</c:v>
                </c:pt>
                <c:pt idx="17">
                  <c:v>79660</c:v>
                </c:pt>
                <c:pt idx="18">
                  <c:v>0</c:v>
                </c:pt>
                <c:pt idx="19">
                  <c:v>0</c:v>
                </c:pt>
                <c:pt idx="20">
                  <c:v>0</c:v>
                </c:pt>
                <c:pt idx="21">
                  <c:v>78940</c:v>
                </c:pt>
                <c:pt idx="22">
                  <c:v>0</c:v>
                </c:pt>
                <c:pt idx="23">
                  <c:v>0</c:v>
                </c:pt>
                <c:pt idx="24">
                  <c:v>80590</c:v>
                </c:pt>
                <c:pt idx="25">
                  <c:v>0</c:v>
                </c:pt>
                <c:pt idx="26">
                  <c:v>0</c:v>
                </c:pt>
                <c:pt idx="27">
                  <c:v>0</c:v>
                </c:pt>
              </c:numCache>
            </c:numRef>
          </c:val>
          <c:extLst>
            <c:ext xmlns:c16="http://schemas.microsoft.com/office/drawing/2014/chart" uri="{C3380CC4-5D6E-409C-BE32-E72D297353CC}">
              <c16:uniqueId val="{00000001-126B-4C2B-9F87-616AC47A4AEB}"/>
            </c:ext>
          </c:extLst>
        </c:ser>
        <c:ser>
          <c:idx val="3"/>
          <c:order val="3"/>
          <c:tx>
            <c:strRef>
              <c:f>'Bitcoin Historical Data'!$R$1</c:f>
              <c:strCache>
                <c:ptCount val="1"/>
                <c:pt idx="0">
                  <c:v>0.75</c:v>
                </c:pt>
              </c:strCache>
            </c:strRef>
          </c:tx>
          <c:spPr>
            <a:solidFill>
              <a:schemeClr val="accent4">
                <a:lumMod val="60000"/>
                <a:lumOff val="40000"/>
              </a:schemeClr>
            </a:solidFill>
            <a:ln w="127000">
              <a:solidFill>
                <a:schemeClr val="accent3">
                  <a:lumMod val="20000"/>
                  <a:lumOff val="80000"/>
                </a:schemeClr>
              </a:solidFill>
            </a:ln>
            <a:effectLst/>
          </c:spPr>
          <c:invertIfNegative val="0"/>
          <c:cat>
            <c:numRef>
              <c:f>'Bitcoin Historical Data'!$A$2:$A$29</c:f>
              <c:numCache>
                <c:formatCode>m/d/yyyy</c:formatCode>
                <c:ptCount val="28"/>
                <c:pt idx="0">
                  <c:v>46060</c:v>
                </c:pt>
                <c:pt idx="1">
                  <c:v>46061</c:v>
                </c:pt>
                <c:pt idx="2">
                  <c:v>46062</c:v>
                </c:pt>
                <c:pt idx="3">
                  <c:v>46063</c:v>
                </c:pt>
                <c:pt idx="4">
                  <c:v>46064</c:v>
                </c:pt>
                <c:pt idx="5">
                  <c:v>46065</c:v>
                </c:pt>
                <c:pt idx="6">
                  <c:v>46066</c:v>
                </c:pt>
                <c:pt idx="7">
                  <c:v>46067</c:v>
                </c:pt>
                <c:pt idx="8">
                  <c:v>46068</c:v>
                </c:pt>
                <c:pt idx="9">
                  <c:v>46069</c:v>
                </c:pt>
                <c:pt idx="10">
                  <c:v>46070</c:v>
                </c:pt>
                <c:pt idx="11">
                  <c:v>46071</c:v>
                </c:pt>
                <c:pt idx="12">
                  <c:v>46072</c:v>
                </c:pt>
                <c:pt idx="13">
                  <c:v>46073</c:v>
                </c:pt>
                <c:pt idx="14">
                  <c:v>46074</c:v>
                </c:pt>
                <c:pt idx="15">
                  <c:v>46075</c:v>
                </c:pt>
                <c:pt idx="16">
                  <c:v>46076</c:v>
                </c:pt>
                <c:pt idx="17">
                  <c:v>46077</c:v>
                </c:pt>
                <c:pt idx="18">
                  <c:v>46078</c:v>
                </c:pt>
                <c:pt idx="19">
                  <c:v>46079</c:v>
                </c:pt>
                <c:pt idx="20">
                  <c:v>46080</c:v>
                </c:pt>
                <c:pt idx="21">
                  <c:v>46081</c:v>
                </c:pt>
                <c:pt idx="22">
                  <c:v>46082</c:v>
                </c:pt>
                <c:pt idx="23">
                  <c:v>46083</c:v>
                </c:pt>
                <c:pt idx="24">
                  <c:v>46084</c:v>
                </c:pt>
                <c:pt idx="25">
                  <c:v>46085</c:v>
                </c:pt>
                <c:pt idx="26">
                  <c:v>46086</c:v>
                </c:pt>
                <c:pt idx="27">
                  <c:v>46087</c:v>
                </c:pt>
              </c:numCache>
            </c:numRef>
          </c:cat>
          <c:val>
            <c:numRef>
              <c:f>'Bitcoin Historical Data'!$R$2:$R$29</c:f>
              <c:numCache>
                <c:formatCode>General</c:formatCode>
                <c:ptCount val="28"/>
                <c:pt idx="0">
                  <c:v>0</c:v>
                </c:pt>
                <c:pt idx="1">
                  <c:v>0</c:v>
                </c:pt>
                <c:pt idx="2">
                  <c:v>89050</c:v>
                </c:pt>
                <c:pt idx="3">
                  <c:v>0</c:v>
                </c:pt>
                <c:pt idx="4">
                  <c:v>0</c:v>
                </c:pt>
                <c:pt idx="5">
                  <c:v>79760</c:v>
                </c:pt>
                <c:pt idx="6">
                  <c:v>0</c:v>
                </c:pt>
                <c:pt idx="7">
                  <c:v>0</c:v>
                </c:pt>
                <c:pt idx="8">
                  <c:v>0</c:v>
                </c:pt>
                <c:pt idx="9">
                  <c:v>0</c:v>
                </c:pt>
                <c:pt idx="10">
                  <c:v>0</c:v>
                </c:pt>
                <c:pt idx="11">
                  <c:v>0</c:v>
                </c:pt>
                <c:pt idx="12">
                  <c:v>0</c:v>
                </c:pt>
                <c:pt idx="13">
                  <c:v>90380</c:v>
                </c:pt>
                <c:pt idx="14">
                  <c:v>0</c:v>
                </c:pt>
                <c:pt idx="15">
                  <c:v>0</c:v>
                </c:pt>
                <c:pt idx="16">
                  <c:v>0</c:v>
                </c:pt>
                <c:pt idx="17">
                  <c:v>0</c:v>
                </c:pt>
                <c:pt idx="18">
                  <c:v>0</c:v>
                </c:pt>
                <c:pt idx="19">
                  <c:v>0</c:v>
                </c:pt>
                <c:pt idx="20">
                  <c:v>0</c:v>
                </c:pt>
                <c:pt idx="21">
                  <c:v>0</c:v>
                </c:pt>
                <c:pt idx="22">
                  <c:v>0</c:v>
                </c:pt>
                <c:pt idx="23">
                  <c:v>108800</c:v>
                </c:pt>
                <c:pt idx="24">
                  <c:v>0</c:v>
                </c:pt>
                <c:pt idx="25">
                  <c:v>0</c:v>
                </c:pt>
                <c:pt idx="26">
                  <c:v>0</c:v>
                </c:pt>
                <c:pt idx="27">
                  <c:v>0</c:v>
                </c:pt>
              </c:numCache>
            </c:numRef>
          </c:val>
          <c:extLst>
            <c:ext xmlns:c16="http://schemas.microsoft.com/office/drawing/2014/chart" uri="{C3380CC4-5D6E-409C-BE32-E72D297353CC}">
              <c16:uniqueId val="{00000002-126B-4C2B-9F87-616AC47A4AEB}"/>
            </c:ext>
          </c:extLst>
        </c:ser>
        <c:ser>
          <c:idx val="4"/>
          <c:order val="4"/>
          <c:tx>
            <c:strRef>
              <c:f>'Bitcoin Historical Data'!$S$1</c:f>
              <c:strCache>
                <c:ptCount val="1"/>
                <c:pt idx="0">
                  <c:v>1</c:v>
                </c:pt>
              </c:strCache>
            </c:strRef>
          </c:tx>
          <c:spPr>
            <a:solidFill>
              <a:schemeClr val="accent6">
                <a:lumMod val="60000"/>
                <a:lumOff val="40000"/>
              </a:schemeClr>
            </a:solidFill>
            <a:ln w="127000">
              <a:solidFill>
                <a:schemeClr val="accent6">
                  <a:lumMod val="60000"/>
                  <a:lumOff val="40000"/>
                </a:schemeClr>
              </a:solidFill>
            </a:ln>
            <a:effectLst/>
          </c:spPr>
          <c:invertIfNegative val="0"/>
          <c:cat>
            <c:numRef>
              <c:f>'Bitcoin Historical Data'!$A$2:$A$29</c:f>
              <c:numCache>
                <c:formatCode>m/d/yyyy</c:formatCode>
                <c:ptCount val="28"/>
                <c:pt idx="0">
                  <c:v>46060</c:v>
                </c:pt>
                <c:pt idx="1">
                  <c:v>46061</c:v>
                </c:pt>
                <c:pt idx="2">
                  <c:v>46062</c:v>
                </c:pt>
                <c:pt idx="3">
                  <c:v>46063</c:v>
                </c:pt>
                <c:pt idx="4">
                  <c:v>46064</c:v>
                </c:pt>
                <c:pt idx="5">
                  <c:v>46065</c:v>
                </c:pt>
                <c:pt idx="6">
                  <c:v>46066</c:v>
                </c:pt>
                <c:pt idx="7">
                  <c:v>46067</c:v>
                </c:pt>
                <c:pt idx="8">
                  <c:v>46068</c:v>
                </c:pt>
                <c:pt idx="9">
                  <c:v>46069</c:v>
                </c:pt>
                <c:pt idx="10">
                  <c:v>46070</c:v>
                </c:pt>
                <c:pt idx="11">
                  <c:v>46071</c:v>
                </c:pt>
                <c:pt idx="12">
                  <c:v>46072</c:v>
                </c:pt>
                <c:pt idx="13">
                  <c:v>46073</c:v>
                </c:pt>
                <c:pt idx="14">
                  <c:v>46074</c:v>
                </c:pt>
                <c:pt idx="15">
                  <c:v>46075</c:v>
                </c:pt>
                <c:pt idx="16">
                  <c:v>46076</c:v>
                </c:pt>
                <c:pt idx="17">
                  <c:v>46077</c:v>
                </c:pt>
                <c:pt idx="18">
                  <c:v>46078</c:v>
                </c:pt>
                <c:pt idx="19">
                  <c:v>46079</c:v>
                </c:pt>
                <c:pt idx="20">
                  <c:v>46080</c:v>
                </c:pt>
                <c:pt idx="21">
                  <c:v>46081</c:v>
                </c:pt>
                <c:pt idx="22">
                  <c:v>46082</c:v>
                </c:pt>
                <c:pt idx="23">
                  <c:v>46083</c:v>
                </c:pt>
                <c:pt idx="24">
                  <c:v>46084</c:v>
                </c:pt>
                <c:pt idx="25">
                  <c:v>46085</c:v>
                </c:pt>
                <c:pt idx="26">
                  <c:v>46086</c:v>
                </c:pt>
                <c:pt idx="27">
                  <c:v>46087</c:v>
                </c:pt>
              </c:numCache>
            </c:numRef>
          </c:cat>
          <c:val>
            <c:numRef>
              <c:f>'Bitcoin Historical Data'!$S$2:$S$29</c:f>
              <c:numCache>
                <c:formatCode>General</c:formatCode>
                <c:ptCount val="28"/>
                <c:pt idx="0">
                  <c:v>113640</c:v>
                </c:pt>
                <c:pt idx="1">
                  <c:v>0</c:v>
                </c:pt>
                <c:pt idx="2">
                  <c:v>0</c:v>
                </c:pt>
                <c:pt idx="3">
                  <c:v>0</c:v>
                </c:pt>
                <c:pt idx="4">
                  <c:v>89970</c:v>
                </c:pt>
                <c:pt idx="5">
                  <c:v>0</c:v>
                </c:pt>
                <c:pt idx="6">
                  <c:v>0</c:v>
                </c:pt>
                <c:pt idx="7">
                  <c:v>0</c:v>
                </c:pt>
                <c:pt idx="8">
                  <c:v>0</c:v>
                </c:pt>
                <c:pt idx="9">
                  <c:v>0</c:v>
                </c:pt>
                <c:pt idx="10">
                  <c:v>0</c:v>
                </c:pt>
                <c:pt idx="11">
                  <c:v>0</c:v>
                </c:pt>
                <c:pt idx="12">
                  <c:v>0</c:v>
                </c:pt>
                <c:pt idx="13">
                  <c:v>0</c:v>
                </c:pt>
                <c:pt idx="14">
                  <c:v>0</c:v>
                </c:pt>
                <c:pt idx="15">
                  <c:v>0</c:v>
                </c:pt>
                <c:pt idx="16">
                  <c:v>108840</c:v>
                </c:pt>
                <c:pt idx="17">
                  <c:v>0</c:v>
                </c:pt>
                <c:pt idx="18">
                  <c:v>105590</c:v>
                </c:pt>
                <c:pt idx="19">
                  <c:v>0</c:v>
                </c:pt>
                <c:pt idx="20">
                  <c:v>0</c:v>
                </c:pt>
                <c:pt idx="21">
                  <c:v>0</c:v>
                </c:pt>
                <c:pt idx="22">
                  <c:v>0</c:v>
                </c:pt>
                <c:pt idx="23">
                  <c:v>0</c:v>
                </c:pt>
                <c:pt idx="24">
                  <c:v>0</c:v>
                </c:pt>
                <c:pt idx="25">
                  <c:v>136550</c:v>
                </c:pt>
                <c:pt idx="26">
                  <c:v>89380</c:v>
                </c:pt>
                <c:pt idx="27">
                  <c:v>77700</c:v>
                </c:pt>
              </c:numCache>
            </c:numRef>
          </c:val>
          <c:extLst>
            <c:ext xmlns:c16="http://schemas.microsoft.com/office/drawing/2014/chart" uri="{C3380CC4-5D6E-409C-BE32-E72D297353CC}">
              <c16:uniqueId val="{00000003-126B-4C2B-9F87-616AC47A4AEB}"/>
            </c:ext>
          </c:extLst>
        </c:ser>
        <c:dLbls>
          <c:showLegendKey val="0"/>
          <c:showVal val="0"/>
          <c:showCatName val="0"/>
          <c:showSerName val="0"/>
          <c:showPercent val="0"/>
          <c:showBubbleSize val="0"/>
        </c:dLbls>
        <c:gapWidth val="251"/>
        <c:axId val="395675615"/>
        <c:axId val="395677535"/>
      </c:barChart>
      <c:lineChart>
        <c:grouping val="standard"/>
        <c:varyColors val="0"/>
        <c:ser>
          <c:idx val="0"/>
          <c:order val="0"/>
          <c:tx>
            <c:strRef>
              <c:f>'Bitcoin Historical Data'!$B$1</c:f>
              <c:strCache>
                <c:ptCount val="1"/>
                <c:pt idx="0">
                  <c:v>Price</c:v>
                </c:pt>
              </c:strCache>
            </c:strRef>
          </c:tx>
          <c:spPr>
            <a:ln w="28575" cap="rnd">
              <a:solidFill>
                <a:schemeClr val="tx1"/>
              </a:solidFill>
              <a:round/>
            </a:ln>
            <a:effectLst/>
          </c:spPr>
          <c:marker>
            <c:symbol val="circle"/>
            <c:size val="5"/>
            <c:spPr>
              <a:noFill/>
              <a:ln w="9525">
                <a:solidFill>
                  <a:schemeClr val="accent1"/>
                </a:solidFill>
              </a:ln>
              <a:effectLst/>
            </c:spPr>
          </c:marker>
          <c:dLbls>
            <c:dLbl>
              <c:idx val="27"/>
              <c:numFmt formatCode="0,&quot;K&quot;" sourceLinked="0"/>
              <c:spPr>
                <a:solidFill>
                  <a:schemeClr val="tx2">
                    <a:lumMod val="25000"/>
                    <a:lumOff val="75000"/>
                  </a:schemeClr>
                </a:solidFill>
                <a:ln w="31750">
                  <a:solidFill>
                    <a:schemeClr val="tx1"/>
                  </a:solid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8191934120222636E-2"/>
                      <c:h val="5.4954071459368058E-2"/>
                    </c:manualLayout>
                  </c15:layout>
                </c:ext>
                <c:ext xmlns:c16="http://schemas.microsoft.com/office/drawing/2014/chart" uri="{C3380CC4-5D6E-409C-BE32-E72D297353CC}">
                  <c16:uniqueId val="{00000004-126B-4C2B-9F87-616AC47A4AEB}"/>
                </c:ext>
              </c:extLst>
            </c:dLbl>
            <c:numFmt formatCode="0,&quot;K&quot;" sourceLinked="0"/>
            <c:spPr>
              <a:solidFill>
                <a:schemeClr val="tx2">
                  <a:lumMod val="25000"/>
                  <a:lumOff val="75000"/>
                </a:schemeClr>
              </a:solidFill>
              <a:ln w="31750">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'Bitcoin Historical Data'!$A$2:$A$29</c:f>
              <c:numCache>
                <c:formatCode>m/d/yyyy</c:formatCode>
                <c:ptCount val="28"/>
                <c:pt idx="0">
                  <c:v>46060</c:v>
                </c:pt>
                <c:pt idx="1">
                  <c:v>46061</c:v>
                </c:pt>
                <c:pt idx="2">
                  <c:v>46062</c:v>
                </c:pt>
                <c:pt idx="3">
                  <c:v>46063</c:v>
                </c:pt>
                <c:pt idx="4">
                  <c:v>46064</c:v>
                </c:pt>
                <c:pt idx="5">
                  <c:v>46065</c:v>
                </c:pt>
                <c:pt idx="6">
                  <c:v>46066</c:v>
                </c:pt>
                <c:pt idx="7">
                  <c:v>46067</c:v>
                </c:pt>
                <c:pt idx="8">
                  <c:v>46068</c:v>
                </c:pt>
                <c:pt idx="9">
                  <c:v>46069</c:v>
                </c:pt>
                <c:pt idx="10">
                  <c:v>46070</c:v>
                </c:pt>
                <c:pt idx="11">
                  <c:v>46071</c:v>
                </c:pt>
                <c:pt idx="12">
                  <c:v>46072</c:v>
                </c:pt>
                <c:pt idx="13">
                  <c:v>46073</c:v>
                </c:pt>
                <c:pt idx="14">
                  <c:v>46074</c:v>
                </c:pt>
                <c:pt idx="15">
                  <c:v>46075</c:v>
                </c:pt>
                <c:pt idx="16">
                  <c:v>46076</c:v>
                </c:pt>
                <c:pt idx="17">
                  <c:v>46077</c:v>
                </c:pt>
                <c:pt idx="18">
                  <c:v>46078</c:v>
                </c:pt>
                <c:pt idx="19">
                  <c:v>46079</c:v>
                </c:pt>
                <c:pt idx="20">
                  <c:v>46080</c:v>
                </c:pt>
                <c:pt idx="21">
                  <c:v>46081</c:v>
                </c:pt>
                <c:pt idx="22">
                  <c:v>46082</c:v>
                </c:pt>
                <c:pt idx="23">
                  <c:v>46083</c:v>
                </c:pt>
                <c:pt idx="24">
                  <c:v>46084</c:v>
                </c:pt>
                <c:pt idx="25">
                  <c:v>46085</c:v>
                </c:pt>
                <c:pt idx="26">
                  <c:v>46086</c:v>
                </c:pt>
                <c:pt idx="27">
                  <c:v>46087</c:v>
                </c:pt>
              </c:numCache>
            </c:numRef>
          </c:cat>
          <c:val>
            <c:numRef>
              <c:f>'Bitcoin Historical Data'!$B$2:$B$29</c:f>
              <c:numCache>
                <c:formatCode>#,##0.00</c:formatCode>
                <c:ptCount val="28"/>
                <c:pt idx="0">
                  <c:v>69319.5</c:v>
                </c:pt>
                <c:pt idx="1">
                  <c:v>70342</c:v>
                </c:pt>
                <c:pt idx="2">
                  <c:v>70127.899999999994</c:v>
                </c:pt>
                <c:pt idx="3">
                  <c:v>68810.3</c:v>
                </c:pt>
                <c:pt idx="4">
                  <c:v>67048.800000000003</c:v>
                </c:pt>
                <c:pt idx="5">
                  <c:v>66248.7</c:v>
                </c:pt>
                <c:pt idx="6">
                  <c:v>68883.399999999994</c:v>
                </c:pt>
                <c:pt idx="7">
                  <c:v>69784.399999999994</c:v>
                </c:pt>
                <c:pt idx="8">
                  <c:v>68813.8</c:v>
                </c:pt>
                <c:pt idx="9">
                  <c:v>68890.7</c:v>
                </c:pt>
                <c:pt idx="10">
                  <c:v>67490.899999999994</c:v>
                </c:pt>
                <c:pt idx="11">
                  <c:v>66473.2</c:v>
                </c:pt>
                <c:pt idx="12">
                  <c:v>66978.899999999994</c:v>
                </c:pt>
                <c:pt idx="13">
                  <c:v>68023.5</c:v>
                </c:pt>
                <c:pt idx="14">
                  <c:v>68011.100000000006</c:v>
                </c:pt>
                <c:pt idx="15">
                  <c:v>67642.899999999994</c:v>
                </c:pt>
                <c:pt idx="16">
                  <c:v>64662.7</c:v>
                </c:pt>
                <c:pt idx="17">
                  <c:v>64048.800000000003</c:v>
                </c:pt>
                <c:pt idx="18">
                  <c:v>67978.8</c:v>
                </c:pt>
                <c:pt idx="19">
                  <c:v>67482.100000000006</c:v>
                </c:pt>
                <c:pt idx="20">
                  <c:v>65870.2</c:v>
                </c:pt>
                <c:pt idx="21">
                  <c:v>66995</c:v>
                </c:pt>
                <c:pt idx="22">
                  <c:v>65763.3</c:v>
                </c:pt>
                <c:pt idx="23">
                  <c:v>68790.8</c:v>
                </c:pt>
                <c:pt idx="24">
                  <c:v>68318.5</c:v>
                </c:pt>
                <c:pt idx="25">
                  <c:v>72768.7</c:v>
                </c:pt>
                <c:pt idx="26">
                  <c:v>70887.5</c:v>
                </c:pt>
                <c:pt idx="27">
                  <c:v>68429.3</c:v>
                </c:pt>
              </c:numCache>
            </c:numRef>
          </c:val>
          <c:smooth val="1"/>
          <c:extLst>
            <c:ext xmlns:c16="http://schemas.microsoft.com/office/drawing/2014/chart" uri="{C3380CC4-5D6E-409C-BE32-E72D297353CC}">
              <c16:uniqueId val="{00000005-126B-4C2B-9F87-616AC47A4AEB}"/>
            </c:ext>
          </c:extLst>
        </c:ser>
        <c:dLbls>
          <c:showLegendKey val="0"/>
          <c:showVal val="0"/>
          <c:showCatName val="0"/>
          <c:showSerName val="0"/>
          <c:showPercent val="0"/>
          <c:showBubbleSize val="0"/>
        </c:dLbls>
        <c:marker val="1"/>
        <c:smooth val="0"/>
        <c:axId val="395648735"/>
        <c:axId val="395655455"/>
      </c:lineChart>
      <c:dateAx>
        <c:axId val="395675615"/>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77535"/>
        <c:crosses val="autoZero"/>
        <c:auto val="1"/>
        <c:lblOffset val="100"/>
        <c:baseTimeUnit val="days"/>
      </c:dateAx>
      <c:valAx>
        <c:axId val="395677535"/>
        <c:scaling>
          <c:orientation val="minMax"/>
          <c:max val="14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75615"/>
        <c:crosses val="autoZero"/>
        <c:crossBetween val="between"/>
      </c:valAx>
      <c:valAx>
        <c:axId val="3956554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648735"/>
        <c:crosses val="max"/>
        <c:crossBetween val="between"/>
      </c:valAx>
      <c:dateAx>
        <c:axId val="395648735"/>
        <c:scaling>
          <c:orientation val="minMax"/>
        </c:scaling>
        <c:delete val="1"/>
        <c:axPos val="b"/>
        <c:numFmt formatCode="m/d/yyyy" sourceLinked="1"/>
        <c:majorTickMark val="out"/>
        <c:minorTickMark val="none"/>
        <c:tickLblPos val="nextTo"/>
        <c:crossAx val="395655455"/>
        <c:crosses val="autoZero"/>
        <c:auto val="1"/>
        <c:lblOffset val="100"/>
        <c:baseTimeUnit val="days"/>
      </c:date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Historical Data (1) (1).xlsx]Bitcoin PivotTable!PivotTable29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Bitcoin Price vs Trading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'Bitcoin PivotTable'!$B$6</c:f>
              <c:strCache>
                <c:ptCount val="1"/>
                <c:pt idx="0">
                  <c:v>Average of Price</c:v>
                </c:pt>
              </c:strCache>
            </c:strRef>
          </c:tx>
          <c:spPr>
            <a:solidFill>
              <a:schemeClr val="accent1"/>
            </a:solidFill>
            <a:ln>
              <a:noFill/>
            </a:ln>
            <a:effectLst/>
          </c:spPr>
          <c:invertIfNegative val="0"/>
          <c:cat>
            <c:strRef>
              <c:f>'Bitcoin PivotTable'!$A$7:$A$13</c:f>
              <c:strCache>
                <c:ptCount val="7"/>
                <c:pt idx="0">
                  <c:v>Sun</c:v>
                </c:pt>
                <c:pt idx="1">
                  <c:v>Mon</c:v>
                </c:pt>
                <c:pt idx="2">
                  <c:v>Tue</c:v>
                </c:pt>
                <c:pt idx="3">
                  <c:v>Wed</c:v>
                </c:pt>
                <c:pt idx="4">
                  <c:v>Thu</c:v>
                </c:pt>
                <c:pt idx="5">
                  <c:v>Fri</c:v>
                </c:pt>
                <c:pt idx="6">
                  <c:v>Sat</c:v>
                </c:pt>
              </c:strCache>
            </c:strRef>
          </c:cat>
          <c:val>
            <c:numRef>
              <c:f>'Bitcoin PivotTable'!$B$7:$B$13</c:f>
              <c:numCache>
                <c:formatCode>"$"#,##0</c:formatCode>
                <c:ptCount val="7"/>
                <c:pt idx="0">
                  <c:v>68140.5</c:v>
                </c:pt>
                <c:pt idx="1">
                  <c:v>68118.024999999994</c:v>
                </c:pt>
                <c:pt idx="2">
                  <c:v>67167.125</c:v>
                </c:pt>
                <c:pt idx="3">
                  <c:v>68567.375</c:v>
                </c:pt>
                <c:pt idx="4">
                  <c:v>67899.299999999988</c:v>
                </c:pt>
                <c:pt idx="5">
                  <c:v>67801.599999999991</c:v>
                </c:pt>
                <c:pt idx="6">
                  <c:v>68527.5</c:v>
                </c:pt>
              </c:numCache>
            </c:numRef>
          </c:val>
          <c:extLst>
            <c:ext xmlns:c16="http://schemas.microsoft.com/office/drawing/2014/chart" uri="{C3380CC4-5D6E-409C-BE32-E72D297353CC}">
              <c16:uniqueId val="{00000000-C9E4-420C-B7C9-EB4DBCE2B2FB}"/>
            </c:ext>
          </c:extLst>
        </c:ser>
        <c:dLbls>
          <c:showLegendKey val="0"/>
          <c:showVal val="0"/>
          <c:showCatName val="0"/>
          <c:showSerName val="0"/>
          <c:showPercent val="0"/>
          <c:showBubbleSize val="0"/>
        </c:dLbls>
        <c:gapWidth val="219"/>
        <c:axId val="81196063"/>
        <c:axId val="81198463"/>
      </c:barChart>
      <c:lineChart>
        <c:grouping val="standard"/>
        <c:varyColors val="0"/>
        <c:ser>
          <c:idx val="1"/>
          <c:order val="1"/>
          <c:tx>
            <c:strRef>
              <c:f>'Bitcoin PivotTable'!$C$6</c:f>
              <c:strCache>
                <c:ptCount val="1"/>
                <c:pt idx="0">
                  <c:v>Average of Volume_Number</c:v>
                </c:pt>
              </c:strCache>
            </c:strRef>
          </c:tx>
          <c:spPr>
            <a:ln w="28575" cap="rnd">
              <a:solidFill>
                <a:schemeClr val="accent2"/>
              </a:solidFill>
              <a:round/>
            </a:ln>
            <a:effectLst/>
          </c:spPr>
          <c:marker>
            <c:symbol val="none"/>
          </c:marker>
          <c:cat>
            <c:strRef>
              <c:f>'Bitcoin PivotTable'!$A$7:$A$13</c:f>
              <c:strCache>
                <c:ptCount val="7"/>
                <c:pt idx="0">
                  <c:v>Sun</c:v>
                </c:pt>
                <c:pt idx="1">
                  <c:v>Mon</c:v>
                </c:pt>
                <c:pt idx="2">
                  <c:v>Tue</c:v>
                </c:pt>
                <c:pt idx="3">
                  <c:v>Wed</c:v>
                </c:pt>
                <c:pt idx="4">
                  <c:v>Thu</c:v>
                </c:pt>
                <c:pt idx="5">
                  <c:v>Fri</c:v>
                </c:pt>
                <c:pt idx="6">
                  <c:v>Sat</c:v>
                </c:pt>
              </c:strCache>
            </c:strRef>
          </c:cat>
          <c:val>
            <c:numRef>
              <c:f>'Bitcoin PivotTable'!$C$7:$C$13</c:f>
              <c:numCache>
                <c:formatCode>0.0,."K"</c:formatCode>
                <c:ptCount val="7"/>
                <c:pt idx="0">
                  <c:v>57005</c:v>
                </c:pt>
                <c:pt idx="1">
                  <c:v>89720</c:v>
                </c:pt>
                <c:pt idx="2">
                  <c:v>71370</c:v>
                </c:pt>
                <c:pt idx="3">
                  <c:v>97202.5</c:v>
                </c:pt>
                <c:pt idx="4">
                  <c:v>73732.5</c:v>
                </c:pt>
                <c:pt idx="5">
                  <c:v>78347.5</c:v>
                </c:pt>
                <c:pt idx="6">
                  <c:v>70127.5</c:v>
                </c:pt>
              </c:numCache>
            </c:numRef>
          </c:val>
          <c:smooth val="0"/>
          <c:extLst>
            <c:ext xmlns:c16="http://schemas.microsoft.com/office/drawing/2014/chart" uri="{C3380CC4-5D6E-409C-BE32-E72D297353CC}">
              <c16:uniqueId val="{00000002-C9E4-420C-B7C9-EB4DBCE2B2FB}"/>
            </c:ext>
          </c:extLst>
        </c:ser>
        <c:dLbls>
          <c:showLegendKey val="0"/>
          <c:showVal val="0"/>
          <c:showCatName val="0"/>
          <c:showSerName val="0"/>
          <c:showPercent val="0"/>
          <c:showBubbleSize val="0"/>
        </c:dLbls>
        <c:marker val="1"/>
        <c:smooth val="0"/>
        <c:axId val="1255172607"/>
        <c:axId val="1255174527"/>
      </c:lineChart>
      <c:catAx>
        <c:axId val="8119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8463"/>
        <c:crosses val="autoZero"/>
        <c:auto val="1"/>
        <c:lblAlgn val="ctr"/>
        <c:lblOffset val="100"/>
        <c:noMultiLvlLbl val="0"/>
      </c:catAx>
      <c:valAx>
        <c:axId val="81198463"/>
        <c:scaling>
          <c:orientation val="minMax"/>
        </c:scaling>
        <c:delete val="0"/>
        <c:axPos val="l"/>
        <c:numFmt formatCode="&quot;$&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6063"/>
        <c:crosses val="autoZero"/>
        <c:crossBetween val="between"/>
      </c:valAx>
      <c:valAx>
        <c:axId val="1255174527"/>
        <c:scaling>
          <c:orientation val="minMax"/>
        </c:scaling>
        <c:delete val="0"/>
        <c:axPos val="r"/>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2607"/>
        <c:crosses val="max"/>
        <c:crossBetween val="between"/>
      </c:valAx>
      <c:catAx>
        <c:axId val="1255172607"/>
        <c:scaling>
          <c:orientation val="minMax"/>
        </c:scaling>
        <c:delete val="1"/>
        <c:axPos val="b"/>
        <c:numFmt formatCode="General" sourceLinked="1"/>
        <c:majorTickMark val="out"/>
        <c:minorTickMark val="none"/>
        <c:tickLblPos val="nextTo"/>
        <c:crossAx val="12551745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[Bitcoin Historical Data (1) (1).xlsx]Bitcoin PivotTable!PivotTable37</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'Bitcoin PivotTable'!$B$24</c:f>
              <c:strCache>
                <c:ptCount val="1"/>
                <c:pt idx="0">
                  <c:v>Average Trading Volume</c:v>
                </c:pt>
              </c:strCache>
            </c:strRef>
          </c:tx>
          <c:spPr>
            <a:solidFill>
              <a:schemeClr val="accent1"/>
            </a:solidFill>
            <a:ln>
              <a:noFill/>
            </a:ln>
            <a:effectLst/>
          </c:spPr>
          <c:invertIfNegative val="0"/>
          <c:cat>
            <c:strRef>
              <c:f>'Bitcoin PivotTable'!$A$25:$A$31</c:f>
              <c:strCache>
                <c:ptCount val="7"/>
                <c:pt idx="0">
                  <c:v>Sun</c:v>
                </c:pt>
                <c:pt idx="1">
                  <c:v>Mon</c:v>
                </c:pt>
                <c:pt idx="2">
                  <c:v>Tue</c:v>
                </c:pt>
                <c:pt idx="3">
                  <c:v>Wed</c:v>
                </c:pt>
                <c:pt idx="4">
                  <c:v>Thu</c:v>
                </c:pt>
                <c:pt idx="5">
                  <c:v>Fri</c:v>
                </c:pt>
                <c:pt idx="6">
                  <c:v>Sat</c:v>
                </c:pt>
              </c:strCache>
            </c:strRef>
          </c:cat>
          <c:val>
            <c:numRef>
              <c:f>'Bitcoin PivotTable'!$B$25:$B$31</c:f>
              <c:numCache>
                <c:formatCode>0.0,."K"</c:formatCode>
                <c:ptCount val="7"/>
                <c:pt idx="0">
                  <c:v>57005</c:v>
                </c:pt>
                <c:pt idx="1">
                  <c:v>89720</c:v>
                </c:pt>
                <c:pt idx="2">
                  <c:v>71370</c:v>
                </c:pt>
                <c:pt idx="3">
                  <c:v>97202.5</c:v>
                </c:pt>
                <c:pt idx="4">
                  <c:v>73732.5</c:v>
                </c:pt>
                <c:pt idx="5">
                  <c:v>78347.5</c:v>
                </c:pt>
                <c:pt idx="6">
                  <c:v>70127.5</c:v>
                </c:pt>
              </c:numCache>
            </c:numRef>
          </c:val>
          <c:extLst>
            <c:ext xmlns:c16="http://schemas.microsoft.com/office/drawing/2014/chart" uri="{C3380CC4-5D6E-409C-BE32-E72D297353CC}">
              <c16:uniqueId val="{00000000-6ED1-4CD5-9560-5522807E4993}"/>
            </c:ext>
          </c:extLst>
        </c:ser>
        <c:dLbls>
          <c:showLegendKey val="0"/>
          <c:showVal val="0"/>
          <c:showCatName val="0"/>
          <c:showSerName val="0"/>
          <c:showPercent val="0"/>
          <c:showBubbleSize val="0"/>
        </c:dLbls>
        <c:gapWidth val="219"/>
        <c:overlap val="-27"/>
        <c:axId val="1806795519"/>
        <c:axId val="1806809919"/>
      </c:barChart>
      <c:lineChart>
        <c:grouping val="standard"/>
        <c:varyColors val="0"/>
        <c:ser>
          <c:idx val="1"/>
          <c:order val="1"/>
          <c:tx>
            <c:strRef>
              <c:f>'Bitcoin PivotTable'!$C$24</c:f>
              <c:strCache>
                <c:ptCount val="1"/>
                <c:pt idx="0">
                  <c:v>Average Price Change </c:v>
                </c:pt>
              </c:strCache>
            </c:strRef>
          </c:tx>
          <c:spPr>
            <a:ln w="28575" cap="rnd">
              <a:solidFill>
                <a:schemeClr val="accent2"/>
              </a:solidFill>
              <a:round/>
            </a:ln>
            <a:effectLst/>
          </c:spPr>
          <c:marker>
            <c:symbol val="none"/>
          </c:marker>
          <c:cat>
            <c:strRef>
              <c:f>'Bitcoin PivotTable'!$A$25:$A$31</c:f>
              <c:strCache>
                <c:ptCount val="7"/>
                <c:pt idx="0">
                  <c:v>Sun</c:v>
                </c:pt>
                <c:pt idx="1">
                  <c:v>Mon</c:v>
                </c:pt>
                <c:pt idx="2">
                  <c:v>Tue</c:v>
                </c:pt>
                <c:pt idx="3">
                  <c:v>Wed</c:v>
                </c:pt>
                <c:pt idx="4">
                  <c:v>Thu</c:v>
                </c:pt>
                <c:pt idx="5">
                  <c:v>Fri</c:v>
                </c:pt>
                <c:pt idx="6">
                  <c:v>Sat</c:v>
                </c:pt>
              </c:strCache>
            </c:strRef>
          </c:cat>
          <c:val>
            <c:numRef>
              <c:f>'Bitcoin PivotTable'!$C$25:$C$31</c:f>
              <c:numCache>
                <c:formatCode>0.00%</c:formatCode>
                <c:ptCount val="7"/>
                <c:pt idx="0">
                  <c:v>-5.7249999999999992E-3</c:v>
                </c:pt>
                <c:pt idx="1">
                  <c:v>0</c:v>
                </c:pt>
                <c:pt idx="2">
                  <c:v>-1.3874999999999998E-2</c:v>
                </c:pt>
                <c:pt idx="3">
                  <c:v>2.1450000000000004E-2</c:v>
                </c:pt>
                <c:pt idx="4">
                  <c:v>-9.3749999999999997E-3</c:v>
                </c:pt>
                <c:pt idx="5">
                  <c:v>-8.0000000000000036E-4</c:v>
                </c:pt>
                <c:pt idx="6">
                  <c:v>3.1250000000000002E-3</c:v>
                </c:pt>
              </c:numCache>
            </c:numRef>
          </c:val>
          <c:smooth val="0"/>
          <c:extLst>
            <c:ext xmlns:c16="http://schemas.microsoft.com/office/drawing/2014/chart" uri="{C3380CC4-5D6E-409C-BE32-E72D297353CC}">
              <c16:uniqueId val="{00000001-6ED1-4CD5-9560-5522807E4993}"/>
            </c:ext>
          </c:extLst>
        </c:ser>
        <c:dLbls>
          <c:showLegendKey val="0"/>
          <c:showVal val="0"/>
          <c:showCatName val="0"/>
          <c:showSerName val="0"/>
          <c:showPercent val="0"/>
          <c:showBubbleSize val="0"/>
        </c:dLbls>
        <c:marker val="1"/>
        <c:smooth val="0"/>
        <c:axId val="1806797919"/>
        <c:axId val="1806796479"/>
      </c:lineChart>
      <c:catAx>
        <c:axId val="180679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09919"/>
        <c:crosses val="autoZero"/>
        <c:auto val="1"/>
        <c:lblAlgn val="ctr"/>
        <c:lblOffset val="100"/>
        <c:noMultiLvlLbl val="0"/>
      </c:catAx>
      <c:valAx>
        <c:axId val="180680991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95519"/>
        <c:crosses val="autoZero"/>
        <c:crossBetween val="between"/>
      </c:valAx>
      <c:valAx>
        <c:axId val="18067964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97919"/>
        <c:crosses val="max"/>
        <c:crossBetween val="between"/>
      </c:valAx>
      <c:catAx>
        <c:axId val="1806797919"/>
        <c:scaling>
          <c:orientation val="minMax"/>
        </c:scaling>
        <c:delete val="1"/>
        <c:axPos val="b"/>
        <c:numFmt formatCode="General" sourceLinked="1"/>
        <c:majorTickMark val="out"/>
        <c:minorTickMark val="none"/>
        <c:tickLblPos val="nextTo"/>
        <c:crossAx val="18067964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68233</xdr:rowOff>
    </xdr:from>
    <xdr:to>
      <xdr:col>35</xdr:col>
      <xdr:colOff>92202</xdr:colOff>
      <xdr:row>46</xdr:row>
      <xdr:rowOff>57150</xdr:rowOff>
    </xdr:to>
    <xdr:graphicFrame macro="">
      <xdr:nvGraphicFramePr>
        <xdr:cNvPr id="24" name="Chart 23">
          <a:extLst>
            <a:ext uri="{FF2B5EF4-FFF2-40B4-BE49-F238E27FC236}">
              <a16:creationId xmlns:a16="http://schemas.microsoft.com/office/drawing/2014/main" id="{AC68347D-AF9C-4DDD-8DDC-5A383A3CB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69964</xdr:colOff>
      <xdr:row>46</xdr:row>
      <xdr:rowOff>20782</xdr:rowOff>
    </xdr:from>
    <xdr:to>
      <xdr:col>57</xdr:col>
      <xdr:colOff>38100</xdr:colOff>
      <xdr:row>80</xdr:row>
      <xdr:rowOff>19050</xdr:rowOff>
    </xdr:to>
    <xdr:graphicFrame macro="">
      <xdr:nvGraphicFramePr>
        <xdr:cNvPr id="25" name="Chart 24">
          <a:extLst>
            <a:ext uri="{FF2B5EF4-FFF2-40B4-BE49-F238E27FC236}">
              <a16:creationId xmlns:a16="http://schemas.microsoft.com/office/drawing/2014/main" id="{19DF758F-D83A-4911-B307-488039A52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69964</xdr:colOff>
      <xdr:row>7</xdr:row>
      <xdr:rowOff>79905</xdr:rowOff>
    </xdr:from>
    <xdr:to>
      <xdr:col>57</xdr:col>
      <xdr:colOff>36436</xdr:colOff>
      <xdr:row>46</xdr:row>
      <xdr:rowOff>66189</xdr:rowOff>
    </xdr:to>
    <xdr:graphicFrame macro="">
      <xdr:nvGraphicFramePr>
        <xdr:cNvPr id="27" name="Chart 26">
          <a:extLst>
            <a:ext uri="{FF2B5EF4-FFF2-40B4-BE49-F238E27FC236}">
              <a16:creationId xmlns:a16="http://schemas.microsoft.com/office/drawing/2014/main" id="{7125FCCE-C22D-43E8-AC46-7E236831D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0</xdr:row>
      <xdr:rowOff>25977</xdr:rowOff>
    </xdr:from>
    <xdr:to>
      <xdr:col>57</xdr:col>
      <xdr:colOff>553</xdr:colOff>
      <xdr:row>7</xdr:row>
      <xdr:rowOff>81396</xdr:rowOff>
    </xdr:to>
    <xdr:sp macro="" textlink="">
      <xdr:nvSpPr>
        <xdr:cNvPr id="28" name="Rectangle 27">
          <a:extLst>
            <a:ext uri="{FF2B5EF4-FFF2-40B4-BE49-F238E27FC236}">
              <a16:creationId xmlns:a16="http://schemas.microsoft.com/office/drawing/2014/main" id="{A6A776EF-C7BB-440A-B430-B47D8EB04940}"/>
            </a:ext>
          </a:extLst>
        </xdr:cNvPr>
        <xdr:cNvSpPr/>
      </xdr:nvSpPr>
      <xdr:spPr>
        <a:xfrm>
          <a:off x="-15240" y="25977"/>
          <a:ext cx="26666743" cy="138891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4000" b="1">
              <a:solidFill>
                <a:schemeClr val="tx1"/>
              </a:solidFill>
            </a:rPr>
            <a:t>Bitcoin</a:t>
          </a:r>
          <a:r>
            <a:rPr lang="tr-TR" sz="4000" b="1" baseline="0">
              <a:solidFill>
                <a:schemeClr val="tx1"/>
              </a:solidFill>
            </a:rPr>
            <a:t> Market Analysis Dashboard</a:t>
          </a:r>
          <a:endParaRPr lang="en-US" sz="4000" b="1">
            <a:solidFill>
              <a:schemeClr val="tx1"/>
            </a:solidFill>
          </a:endParaRPr>
        </a:p>
      </xdr:txBody>
    </xdr:sp>
    <xdr:clientData/>
  </xdr:twoCellAnchor>
  <xdr:twoCellAnchor>
    <xdr:from>
      <xdr:col>0</xdr:col>
      <xdr:colOff>0</xdr:colOff>
      <xdr:row>5</xdr:row>
      <xdr:rowOff>55419</xdr:rowOff>
    </xdr:from>
    <xdr:to>
      <xdr:col>57</xdr:col>
      <xdr:colOff>27709</xdr:colOff>
      <xdr:row>7</xdr:row>
      <xdr:rowOff>40179</xdr:rowOff>
    </xdr:to>
    <xdr:sp macro="" textlink="">
      <xdr:nvSpPr>
        <xdr:cNvPr id="29" name="Rectangle 28">
          <a:extLst>
            <a:ext uri="{FF2B5EF4-FFF2-40B4-BE49-F238E27FC236}">
              <a16:creationId xmlns:a16="http://schemas.microsoft.com/office/drawing/2014/main" id="{9E91494B-BD0B-4FA9-A479-5D566AB7EB85}"/>
            </a:ext>
          </a:extLst>
        </xdr:cNvPr>
        <xdr:cNvSpPr/>
      </xdr:nvSpPr>
      <xdr:spPr>
        <a:xfrm>
          <a:off x="0" y="1007919"/>
          <a:ext cx="26678659" cy="365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Price trends, volatility indicators, and trading volume analysis for Bitcoin</a:t>
          </a:r>
        </a:p>
      </xdr:txBody>
    </xdr:sp>
    <xdr:clientData/>
  </xdr:twoCellAnchor>
  <xdr:twoCellAnchor>
    <xdr:from>
      <xdr:col>35</xdr:col>
      <xdr:colOff>0</xdr:colOff>
      <xdr:row>85</xdr:row>
      <xdr:rowOff>0</xdr:rowOff>
    </xdr:from>
    <xdr:to>
      <xdr:col>35</xdr:col>
      <xdr:colOff>457200</xdr:colOff>
      <xdr:row>86</xdr:row>
      <xdr:rowOff>114300</xdr:rowOff>
    </xdr:to>
    <xdr:sp macro="" textlink="">
      <xdr:nvSpPr>
        <xdr:cNvPr id="2049" name="Text Box 1">
          <a:extLst>
            <a:ext uri="{FF2B5EF4-FFF2-40B4-BE49-F238E27FC236}">
              <a16:creationId xmlns:a16="http://schemas.microsoft.com/office/drawing/2014/main" id="{233CE9E5-9F92-7EE5-43A4-18622AF9A66A}"/>
            </a:ext>
          </a:extLst>
        </xdr:cNvPr>
        <xdr:cNvSpPr txBox="1">
          <a:spLocks noChangeArrowheads="1"/>
        </xdr:cNvSpPr>
      </xdr:nvSpPr>
      <xdr:spPr bwMode="auto">
        <a:xfrm>
          <a:off x="13235940" y="15544800"/>
          <a:ext cx="457200" cy="29718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Aptos Narrow"/>
            </a:rPr>
            <a:t>Price trends, volatility indicators, and trading volume analysis for Bitcoin</a:t>
          </a:r>
        </a:p>
      </xdr:txBody>
    </xdr:sp>
    <xdr:clientData/>
  </xdr:twoCellAnchor>
  <xdr:twoCellAnchor>
    <xdr:from>
      <xdr:col>35</xdr:col>
      <xdr:colOff>0</xdr:colOff>
      <xdr:row>85</xdr:row>
      <xdr:rowOff>0</xdr:rowOff>
    </xdr:from>
    <xdr:to>
      <xdr:col>35</xdr:col>
      <xdr:colOff>457200</xdr:colOff>
      <xdr:row>86</xdr:row>
      <xdr:rowOff>114300</xdr:rowOff>
    </xdr:to>
    <xdr:sp macro="" textlink="">
      <xdr:nvSpPr>
        <xdr:cNvPr id="2050" name="Text Box 2">
          <a:extLst>
            <a:ext uri="{FF2B5EF4-FFF2-40B4-BE49-F238E27FC236}">
              <a16:creationId xmlns:a16="http://schemas.microsoft.com/office/drawing/2014/main" id="{32417B02-4C0D-2E81-7014-58A8685E1152}"/>
            </a:ext>
          </a:extLst>
        </xdr:cNvPr>
        <xdr:cNvSpPr txBox="1">
          <a:spLocks noChangeArrowheads="1"/>
        </xdr:cNvSpPr>
      </xdr:nvSpPr>
      <xdr:spPr bwMode="auto">
        <a:xfrm>
          <a:off x="13235940" y="15544800"/>
          <a:ext cx="457200" cy="29718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chemeClr val="tx1"/>
              </a:solidFill>
              <a:latin typeface="Aptos Narrow"/>
            </a:rPr>
            <a:t>Price trends, volatility indicators, and trading volume analysis for Bitcoin</a:t>
          </a:r>
        </a:p>
      </xdr:txBody>
    </xdr:sp>
    <xdr:clientData/>
  </xdr:twoCellAnchor>
  <xdr:twoCellAnchor>
    <xdr:from>
      <xdr:col>0</xdr:col>
      <xdr:colOff>0</xdr:colOff>
      <xdr:row>46</xdr:row>
      <xdr:rowOff>180108</xdr:rowOff>
    </xdr:from>
    <xdr:to>
      <xdr:col>35</xdr:col>
      <xdr:colOff>96982</xdr:colOff>
      <xdr:row>80</xdr:row>
      <xdr:rowOff>13854</xdr:rowOff>
    </xdr:to>
    <xdr:graphicFrame macro="">
      <xdr:nvGraphicFramePr>
        <xdr:cNvPr id="2" name="Chart 1">
          <a:extLst>
            <a:ext uri="{FF2B5EF4-FFF2-40B4-BE49-F238E27FC236}">
              <a16:creationId xmlns:a16="http://schemas.microsoft.com/office/drawing/2014/main" id="{B60F9B00-D7CB-46A9-BCCF-2903AB8B1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339121</xdr:colOff>
      <xdr:row>3</xdr:row>
      <xdr:rowOff>86502</xdr:rowOff>
    </xdr:from>
    <xdr:to>
      <xdr:col>15</xdr:col>
      <xdr:colOff>471927</xdr:colOff>
      <xdr:row>25</xdr:row>
      <xdr:rowOff>38605</xdr:rowOff>
    </xdr:to>
    <xdr:graphicFrame macro="">
      <xdr:nvGraphicFramePr>
        <xdr:cNvPr id="2" name="Chart 1">
          <a:extLst>
            <a:ext uri="{FF2B5EF4-FFF2-40B4-BE49-F238E27FC236}">
              <a16:creationId xmlns:a16="http://schemas.microsoft.com/office/drawing/2014/main" id="{6A1E34AE-9C6B-973B-2C1C-5591EE237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567146</xdr:colOff>
      <xdr:row>16</xdr:row>
      <xdr:rowOff>5443</xdr:rowOff>
    </xdr:from>
    <xdr:to>
      <xdr:col>18</xdr:col>
      <xdr:colOff>567146</xdr:colOff>
      <xdr:row>29</xdr:row>
      <xdr:rowOff>180975</xdr:rowOff>
    </xdr:to>
    <mc:AlternateContent xmlns:mc="http://schemas.openxmlformats.org/markup-compatibility/2006" xmlns:a14="http://schemas.microsoft.com/office/drawing/2010/main">
      <mc:Choice Requires="a14">
        <xdr:graphicFrame macro="">
          <xdr:nvGraphicFramePr>
            <xdr:cNvPr id="5" name="DayName">
              <a:extLst>
                <a:ext uri="{FF2B5EF4-FFF2-40B4-BE49-F238E27FC236}">
                  <a16:creationId xmlns:a16="http://schemas.microsoft.com/office/drawing/2014/main" id="{C7C04B47-C0D2-3839-702F-1B772537D488}"/>
                </a:ext>
              </a:extLst>
            </xdr:cNvPr>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mlns="">
        <xdr:sp macro="" textlink="">
          <xdr:nvSpPr>
            <xdr:cNvPr id="0" name=""/>
            <xdr:cNvSpPr>
              <a:spLocks noTextEdit="1"/>
            </xdr:cNvSpPr>
          </xdr:nvSpPr>
          <xdr:spPr>
            <a:xfrm>
              <a:off x="12301946" y="299901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339121</xdr:colOff>
      <xdr:row>23</xdr:row>
      <xdr:rowOff>174171</xdr:rowOff>
    </xdr:from>
    <xdr:to>
      <xdr:col>15</xdr:col>
      <xdr:colOff>471927</xdr:colOff>
      <xdr:row>45</xdr:row>
      <xdr:rowOff>126273</xdr:rowOff>
    </xdr:to>
    <xdr:graphicFrame macro="">
      <xdr:nvGraphicFramePr>
        <xdr:cNvPr id="6" name="Chart 5">
          <a:extLst>
            <a:ext uri="{FF2B5EF4-FFF2-40B4-BE49-F238E27FC236}">
              <a16:creationId xmlns:a16="http://schemas.microsoft.com/office/drawing/2014/main" id="{65B78B5A-F29D-F09D-E63D-A16842928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t Izci" refreshedDate="46090.505203125002" createdVersion="8" refreshedVersion="8" minRefreshableVersion="3" recordCount="28" xr:uid="{44BB192C-0EE1-4FED-9BD5-E6F9A09785A2}">
  <cacheSource type="worksheet">
    <worksheetSource ref="A1:J29" sheet="Bitcoin Dashboard"/>
  </cacheSource>
  <cacheFields count="10">
    <cacheField name="Date" numFmtId="14">
      <sharedItems containsSemiMixedTypes="0" containsNonDate="0" containsDate="1" containsString="0" minDate="2026-02-07T00:00:00" maxDate="2026-03-07T00:00:00"/>
    </cacheField>
    <cacheField name="Price" numFmtId="4">
      <sharedItems containsSemiMixedTypes="0" containsString="0" containsNumber="1" minValue="64048.800000000003" maxValue="72768.7"/>
    </cacheField>
    <cacheField name="Open" numFmtId="4">
      <sharedItems containsSemiMixedTypes="0" containsString="0" containsNumber="1" minValue="64058.2" maxValue="72744.3"/>
    </cacheField>
    <cacheField name="High" numFmtId="4">
      <sharedItems containsSemiMixedTypes="0" containsString="0" containsNumber="1" minValue="65002.3" maxValue="74031"/>
    </cacheField>
    <cacheField name="Low" numFmtId="4">
      <sharedItems containsSemiMixedTypes="0" containsString="0" containsNumber="1" minValue="62650.1" maxValue="70661.7"/>
    </cacheField>
    <cacheField name="Vol." numFmtId="0">
      <sharedItems/>
    </cacheField>
    <cacheField name="Change %" numFmtId="10">
      <sharedItems containsSemiMixedTypes="0" containsString="0" containsNumber="1" minValue="-4.41E-2" maxValue="6.5100000000000005E-2"/>
    </cacheField>
    <cacheField name="Volume_Number" numFmtId="0">
      <sharedItems containsSemiMixedTypes="0" containsString="0" containsNumber="1" minValue="31400" maxValue="136550"/>
    </cacheField>
    <cacheField name="DayName" numFmtId="0">
      <sharedItems count="7">
        <s v="Fri"/>
        <s v="Mon"/>
        <s v="Sat"/>
        <s v="Sun"/>
        <s v="Thu"/>
        <s v="Tue"/>
        <s v="Wed"/>
      </sharedItems>
    </cacheField>
    <cacheField name="Close" numFmtId="4">
      <sharedItems containsSemiMixedTypes="0" containsString="0" containsNumber="1" minValue="64040.975599999998" maxValue="72766.886429999999"/>
    </cacheField>
  </cacheFields>
  <extLst>
    <ext xmlns:x14="http://schemas.microsoft.com/office/spreadsheetml/2009/9/main" uri="{725AE2AE-9491-48be-B2B4-4EB974FC3084}">
      <x14:pivotCacheDefinition pivotCacheId="1182804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d v="2026-02-13T00:00:00"/>
    <n v="68883.399999999994"/>
    <n v="66234.100000000006"/>
    <n v="69405.5"/>
    <n v="65871"/>
    <s v="70.10K"/>
    <n v="3.9800000000000002E-2"/>
    <n v="70100"/>
    <x v="0"/>
    <n v="68870.217180000007"/>
  </r>
  <r>
    <d v="2026-02-20T00:00:00"/>
    <n v="68023.5"/>
    <n v="66983.7"/>
    <n v="68299.399999999994"/>
    <n v="66501.8"/>
    <s v="90.38K"/>
    <n v="1.5599999999999999E-2"/>
    <n v="90380"/>
    <x v="0"/>
    <n v="68028.64572"/>
  </r>
  <r>
    <d v="2026-02-27T00:00:00"/>
    <n v="65870.2"/>
    <n v="67487.7"/>
    <n v="68190.8"/>
    <n v="65018.7"/>
    <s v="75.21K"/>
    <n v="-2.3900000000000001E-2"/>
    <n v="75210"/>
    <x v="0"/>
    <n v="65874.743969999996"/>
  </r>
  <r>
    <d v="2026-03-06T00:00:00"/>
    <n v="68429.3"/>
    <n v="70892.899999999994"/>
    <n v="71361.100000000006"/>
    <n v="67755.5"/>
    <s v="77.70K"/>
    <n v="-3.4700000000000002E-2"/>
    <n v="77700"/>
    <x v="0"/>
    <n v="68432.916369999992"/>
  </r>
  <r>
    <d v="2026-02-09T00:00:00"/>
    <n v="70127.899999999994"/>
    <n v="70356"/>
    <n v="71379.5"/>
    <n v="68389.3"/>
    <s v="89.05K"/>
    <n v="-3.0000000000000001E-3"/>
    <n v="89050"/>
    <x v="1"/>
    <n v="70144.932000000001"/>
  </r>
  <r>
    <d v="2026-02-16T00:00:00"/>
    <n v="68890.7"/>
    <n v="68818.7"/>
    <n v="70076"/>
    <n v="67315"/>
    <s v="52.19K"/>
    <n v="1.1000000000000001E-3"/>
    <n v="52190"/>
    <x v="1"/>
    <n v="68894.400569999998"/>
  </r>
  <r>
    <d v="2026-02-23T00:00:00"/>
    <n v="64662.7"/>
    <n v="67640"/>
    <n v="67665.399999999994"/>
    <n v="63939"/>
    <s v="108.84K"/>
    <n v="-4.41E-2"/>
    <n v="108840"/>
    <x v="1"/>
    <n v="64657.076000000001"/>
  </r>
  <r>
    <d v="2026-03-02T00:00:00"/>
    <n v="68790.8"/>
    <n v="65806.600000000006"/>
    <n v="69986.399999999994"/>
    <n v="65307.8"/>
    <s v="108.80K"/>
    <n v="4.5999999999999999E-2"/>
    <n v="108800"/>
    <x v="1"/>
    <n v="68833.703600000008"/>
  </r>
  <r>
    <d v="2026-02-07T00:00:00"/>
    <n v="69319.5"/>
    <n v="70556"/>
    <n v="71570.399999999994"/>
    <n v="67397.399999999994"/>
    <s v="113.64K"/>
    <n v="-1.7500000000000002E-2"/>
    <n v="113640"/>
    <x v="2"/>
    <n v="69321.27"/>
  </r>
  <r>
    <d v="2026-02-14T00:00:00"/>
    <n v="69784.399999999994"/>
    <n v="68828.7"/>
    <n v="70494.5"/>
    <n v="68725.600000000006"/>
    <s v="56.53K"/>
    <n v="1.3100000000000001E-2"/>
    <n v="56530"/>
    <x v="2"/>
    <n v="69730.355970000004"/>
  </r>
  <r>
    <d v="2026-02-21T00:00:00"/>
    <n v="68011.100000000006"/>
    <n v="68018.100000000006"/>
    <n v="68673.3"/>
    <n v="67556.399999999994"/>
    <s v="31.40K"/>
    <n v="-2.0000000000000001E-4"/>
    <n v="31400"/>
    <x v="2"/>
    <n v="68004.496380000011"/>
  </r>
  <r>
    <d v="2026-02-28T00:00:00"/>
    <n v="66995"/>
    <n v="65881.5"/>
    <n v="67657.399999999994"/>
    <n v="63068.7"/>
    <s v="78.94K"/>
    <n v="1.7100000000000001E-2"/>
    <n v="78940"/>
    <x v="2"/>
    <n v="67008.073649999991"/>
  </r>
  <r>
    <d v="2026-02-08T00:00:00"/>
    <n v="70342"/>
    <n v="69318.8"/>
    <n v="72204.2"/>
    <n v="68888.100000000006"/>
    <s v="64.85K"/>
    <n v="1.4800000000000001E-2"/>
    <n v="64849.999999999993"/>
    <x v="3"/>
    <n v="70344.718240000002"/>
  </r>
  <r>
    <d v="2026-02-15T00:00:00"/>
    <n v="68813.8"/>
    <n v="69797"/>
    <n v="70961.2"/>
    <n v="68076.100000000006"/>
    <s v="59.22K"/>
    <n v="-1.3899999999999999E-2"/>
    <n v="59220"/>
    <x v="3"/>
    <n v="68826.8217"/>
  </r>
  <r>
    <d v="2026-02-22T00:00:00"/>
    <n v="67642.899999999994"/>
    <n v="68003"/>
    <n v="68243.100000000006"/>
    <n v="67197.7"/>
    <s v="32.60K"/>
    <n v="-5.4000000000000003E-3"/>
    <n v="32600"/>
    <x v="3"/>
    <n v="67635.783800000005"/>
  </r>
  <r>
    <d v="2026-03-01T00:00:00"/>
    <n v="65763.3"/>
    <n v="66990.7"/>
    <n v="68159.199999999997"/>
    <n v="65093.1"/>
    <s v="71.35K"/>
    <n v="-1.84E-2"/>
    <n v="71350"/>
    <x v="3"/>
    <n v="65758.071119999993"/>
  </r>
  <r>
    <d v="2026-02-12T00:00:00"/>
    <n v="66248.7"/>
    <n v="67048.800000000003"/>
    <n v="68349.5"/>
    <n v="65138.1"/>
    <s v="79.76K"/>
    <n v="-1.1900000000000001E-2"/>
    <n v="79760"/>
    <x v="4"/>
    <n v="66250.919280000002"/>
  </r>
  <r>
    <d v="2026-02-19T00:00:00"/>
    <n v="66978.899999999994"/>
    <n v="66466.7"/>
    <n v="67304.600000000006"/>
    <n v="65653.5"/>
    <s v="53.72K"/>
    <n v="7.6E-3"/>
    <n v="53720"/>
    <x v="4"/>
    <n v="66971.846919999996"/>
  </r>
  <r>
    <d v="2026-02-26T00:00:00"/>
    <n v="67482.100000000006"/>
    <n v="67987.199999999997"/>
    <n v="68842.899999999994"/>
    <n v="66573.7"/>
    <s v="72.07K"/>
    <n v="-7.3000000000000001E-3"/>
    <n v="72070"/>
    <x v="4"/>
    <n v="67490.89344"/>
  </r>
  <r>
    <d v="2026-03-05T00:00:00"/>
    <n v="70887.5"/>
    <n v="72744.3"/>
    <n v="73540.2"/>
    <n v="70661.7"/>
    <s v="89.38K"/>
    <n v="-2.5899999999999999E-2"/>
    <n v="89380"/>
    <x v="4"/>
    <n v="70860.222630000004"/>
  </r>
  <r>
    <d v="2026-02-10T00:00:00"/>
    <n v="68810.3"/>
    <n v="70122.7"/>
    <n v="70474.2"/>
    <n v="67958.3"/>
    <s v="70.29K"/>
    <n v="-1.8800000000000001E-2"/>
    <n v="70290"/>
    <x v="5"/>
    <n v="68804.39323999999"/>
  </r>
  <r>
    <d v="2026-02-17T00:00:00"/>
    <n v="67490.899999999994"/>
    <n v="68889.399999999994"/>
    <n v="69174.399999999994"/>
    <n v="66649.2"/>
    <s v="54.94K"/>
    <n v="-2.0299999999999999E-2"/>
    <n v="54940"/>
    <x v="5"/>
    <n v="67490.945179999995"/>
  </r>
  <r>
    <d v="2026-02-24T00:00:00"/>
    <n v="64048.800000000003"/>
    <n v="64655.199999999997"/>
    <n v="65002.3"/>
    <n v="62650.1"/>
    <s v="79.66K"/>
    <n v="-9.4999999999999998E-3"/>
    <n v="79660"/>
    <x v="5"/>
    <n v="64040.975599999998"/>
  </r>
  <r>
    <d v="2026-03-03T00:00:00"/>
    <n v="68318.5"/>
    <n v="68802.7"/>
    <n v="69213.3"/>
    <n v="66288.7"/>
    <s v="80.59K"/>
    <n v="-6.8999999999999999E-3"/>
    <n v="80590"/>
    <x v="5"/>
    <n v="68327.96136999999"/>
  </r>
  <r>
    <d v="2026-02-11T00:00:00"/>
    <n v="67048.800000000003"/>
    <n v="68809.2"/>
    <n v="69273.899999999994"/>
    <n v="65790"/>
    <s v="89.97K"/>
    <n v="-2.5600000000000001E-2"/>
    <n v="89970"/>
    <x v="6"/>
    <n v="67047.684479999996"/>
  </r>
  <r>
    <d v="2026-02-18T00:00:00"/>
    <n v="66473.2"/>
    <n v="67495.7"/>
    <n v="68445.8"/>
    <n v="65896.5"/>
    <s v="56.70K"/>
    <n v="-1.5100000000000001E-2"/>
    <n v="56700"/>
    <x v="6"/>
    <n v="66476.51492999999"/>
  </r>
  <r>
    <d v="2026-02-25T00:00:00"/>
    <n v="67978.8"/>
    <n v="64058.2"/>
    <n v="69819.3"/>
    <n v="63930.400000000001"/>
    <s v="105.59K"/>
    <n v="6.1400000000000003E-2"/>
    <n v="105590"/>
    <x v="6"/>
    <n v="67991.373479999995"/>
  </r>
  <r>
    <d v="2026-03-04T00:00:00"/>
    <n v="72768.7"/>
    <n v="68319.3"/>
    <n v="74031"/>
    <n v="67426.399999999994"/>
    <s v="136.55K"/>
    <n v="6.5100000000000005E-2"/>
    <n v="136550"/>
    <x v="6"/>
    <n v="72766.88642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40704-1333-4938-BE68-A91325C4499E}" name="PivotTable2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location ref="A6:C13" firstHeaderRow="0" firstDataRow="1" firstDataCol="1"/>
  <pivotFields count="10">
    <pivotField numFmtId="14" showAll="0"/>
    <pivotField dataField="1" numFmtId="4" showAll="0"/>
    <pivotField numFmtId="4" showAll="0"/>
    <pivotField numFmtId="4" showAll="0"/>
    <pivotField numFmtId="4" showAll="0"/>
    <pivotField showAll="0"/>
    <pivotField numFmtId="10" showAll="0"/>
    <pivotField dataField="1" showAll="0"/>
    <pivotField axis="axisRow" showAll="0">
      <items count="8">
        <item x="3"/>
        <item x="1"/>
        <item x="5"/>
        <item x="6"/>
        <item x="4"/>
        <item x="0"/>
        <item x="2"/>
        <item t="default"/>
      </items>
    </pivotField>
    <pivotField showAll="0"/>
  </pivotFields>
  <rowFields count="1">
    <field x="8"/>
  </rowFields>
  <rowItems count="7">
    <i>
      <x/>
    </i>
    <i>
      <x v="1"/>
    </i>
    <i>
      <x v="2"/>
    </i>
    <i>
      <x v="3"/>
    </i>
    <i>
      <x v="4"/>
    </i>
    <i>
      <x v="5"/>
    </i>
    <i>
      <x v="6"/>
    </i>
  </rowItems>
  <colFields count="1">
    <field x="-2"/>
  </colFields>
  <colItems count="2">
    <i>
      <x/>
    </i>
    <i i="1">
      <x v="1"/>
    </i>
  </colItems>
  <dataFields count="2">
    <dataField name="Average of Price" fld="1" subtotal="average" baseField="0" baseItem="0" numFmtId="164"/>
    <dataField name="Average of Volume_Number" fld="7"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B383B-4BC5-4656-8C80-FFAF12400DF4}" name="PivotTable3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4:C31" firstHeaderRow="0" firstDataRow="1" firstDataCol="1"/>
  <pivotFields count="10">
    <pivotField numFmtId="14" showAll="0"/>
    <pivotField numFmtId="4" showAll="0"/>
    <pivotField numFmtId="4" showAll="0"/>
    <pivotField numFmtId="4" showAll="0"/>
    <pivotField numFmtId="4" showAll="0"/>
    <pivotField showAll="0"/>
    <pivotField dataField="1" numFmtId="10" showAll="0"/>
    <pivotField dataField="1" showAll="0"/>
    <pivotField axis="axisRow" showAll="0">
      <items count="8">
        <item x="3"/>
        <item x="1"/>
        <item x="5"/>
        <item x="6"/>
        <item x="4"/>
        <item x="0"/>
        <item x="2"/>
        <item t="default"/>
      </items>
    </pivotField>
    <pivotField showAll="0"/>
  </pivotFields>
  <rowFields count="1">
    <field x="8"/>
  </rowFields>
  <rowItems count="7">
    <i>
      <x/>
    </i>
    <i>
      <x v="1"/>
    </i>
    <i>
      <x v="2"/>
    </i>
    <i>
      <x v="3"/>
    </i>
    <i>
      <x v="4"/>
    </i>
    <i>
      <x v="5"/>
    </i>
    <i>
      <x v="6"/>
    </i>
  </rowItems>
  <colFields count="1">
    <field x="-2"/>
  </colFields>
  <colItems count="2">
    <i>
      <x/>
    </i>
    <i i="1">
      <x v="1"/>
    </i>
  </colItems>
  <dataFields count="2">
    <dataField name="Average Trading Volume" fld="7" subtotal="average" baseField="0" baseItem="0" numFmtId="165"/>
    <dataField name="Average Price Change " fld="6" subtotal="average" baseField="0" baseItem="0" numFmtId="1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Name" xr10:uid="{29E42583-6B70-4E0C-8A0E-BAAC30AC3221}" sourceName="DayName">
  <pivotTables>
    <pivotTable tabId="2" name="PivotTable37"/>
    <pivotTable tabId="2" name="PivotTable29"/>
  </pivotTables>
  <data>
    <tabular pivotCacheId="1182804067">
      <items count="7">
        <i x="3" s="1"/>
        <i x="1" s="1"/>
        <i x="5" s="1"/>
        <i x="6"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Name" xr10:uid="{574A0815-061E-4C48-9376-8EDFD064BF5C}" cache="Slicer_DayName" caption="Day of Week"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5BCE-7AA5-445D-AF40-A601343F25B1}">
  <dimension ref="A1:S29"/>
  <sheetViews>
    <sheetView topLeftCell="A16" zoomScale="55" zoomScaleNormal="55" workbookViewId="0">
      <selection activeCell="AB57" sqref="AB57"/>
    </sheetView>
  </sheetViews>
  <sheetFormatPr defaultRowHeight="14.4" x14ac:dyDescent="0.3"/>
  <cols>
    <col min="1" max="1" width="12.88671875" customWidth="1"/>
    <col min="2" max="2" width="13" customWidth="1"/>
    <col min="3" max="3" width="14.5546875" customWidth="1"/>
    <col min="4" max="4" width="13" customWidth="1"/>
    <col min="5" max="5" width="13.21875" customWidth="1"/>
    <col min="6" max="6" width="15" customWidth="1"/>
    <col min="7" max="7" width="9.109375" customWidth="1"/>
    <col min="8" max="8" width="15.5546875" customWidth="1"/>
    <col min="9" max="9" width="11.5546875" customWidth="1"/>
    <col min="10" max="10" width="11.6640625" customWidth="1"/>
    <col min="11" max="11" width="12.33203125" customWidth="1"/>
    <col min="12" max="12" width="13.44140625" customWidth="1"/>
    <col min="13" max="13" width="12.6640625" customWidth="1"/>
    <col min="14" max="14" width="13.77734375" customWidth="1"/>
    <col min="15" max="15" width="11.109375" customWidth="1"/>
  </cols>
  <sheetData>
    <row r="1" spans="1:19" x14ac:dyDescent="0.3">
      <c r="A1" s="4" t="s">
        <v>0</v>
      </c>
      <c r="B1" s="4" t="s">
        <v>1</v>
      </c>
      <c r="C1" s="4" t="s">
        <v>2</v>
      </c>
      <c r="D1" s="4" t="s">
        <v>3</v>
      </c>
      <c r="E1" s="4" t="s">
        <v>4</v>
      </c>
      <c r="F1" s="4" t="s">
        <v>5</v>
      </c>
      <c r="G1" s="4" t="s">
        <v>6</v>
      </c>
      <c r="H1" s="11" t="s">
        <v>37</v>
      </c>
      <c r="I1" s="11" t="s">
        <v>54</v>
      </c>
      <c r="J1" s="11" t="s">
        <v>35</v>
      </c>
      <c r="K1" s="11" t="s">
        <v>51</v>
      </c>
      <c r="L1" s="11" t="s">
        <v>48</v>
      </c>
      <c r="M1" s="11" t="s">
        <v>49</v>
      </c>
      <c r="N1" s="11" t="s">
        <v>50</v>
      </c>
      <c r="O1" s="12" t="s">
        <v>56</v>
      </c>
      <c r="P1" s="12">
        <v>0.25</v>
      </c>
      <c r="Q1" s="12">
        <v>0.5</v>
      </c>
      <c r="R1" s="13">
        <v>0.75</v>
      </c>
      <c r="S1" s="13">
        <v>1</v>
      </c>
    </row>
    <row r="2" spans="1:19" x14ac:dyDescent="0.3">
      <c r="A2" s="1">
        <v>46060</v>
      </c>
      <c r="B2" s="2">
        <v>69319.5</v>
      </c>
      <c r="C2" s="2">
        <v>70556</v>
      </c>
      <c r="D2" s="2">
        <v>71570.399999999994</v>
      </c>
      <c r="E2" s="2">
        <v>67397.399999999994</v>
      </c>
      <c r="F2" t="s">
        <v>34</v>
      </c>
      <c r="G2" s="3">
        <v>-1.7500000000000002E-2</v>
      </c>
      <c r="H2">
        <f t="shared" ref="H2:H29" si="0">VALUE(SUBSTITUTE(F2,"K"," ")*1000)</f>
        <v>113640</v>
      </c>
      <c r="I2" t="str">
        <f t="shared" ref="I2:I29" si="1">TEXT(DAY(A2),"ddd")</f>
        <v>Sat</v>
      </c>
      <c r="J2" s="2">
        <f t="shared" ref="J2:J29" si="2">C2*(1+G2)</f>
        <v>69321.27</v>
      </c>
      <c r="K2" s="2"/>
      <c r="L2" s="2"/>
      <c r="M2" s="2"/>
      <c r="N2" s="2"/>
      <c r="O2" s="10">
        <f>PERCENTRANK(H2:H29,H2)</f>
        <v>0.96199999999999997</v>
      </c>
      <c r="P2" t="str" cm="1">
        <f t="array" ref="P2:P29">IF(O2:O29&lt;=P1,H2:H29,"")</f>
        <v/>
      </c>
      <c r="Q2" t="str">
        <f>IF(AND($O2&lt;=Q$1,$O2&gt;P$1),H2,"")</f>
        <v/>
      </c>
      <c r="R2" t="str">
        <f>IF(AND($O2&lt;=R$1,$O2&gt;Q$1),H2,"")</f>
        <v/>
      </c>
      <c r="S2">
        <f>IF(AND($O2&lt;=S$1,$O2&gt;R$1),$H2,"")</f>
        <v>113640</v>
      </c>
    </row>
    <row r="3" spans="1:19" x14ac:dyDescent="0.3">
      <c r="A3" s="1">
        <v>46061</v>
      </c>
      <c r="B3" s="2">
        <v>70342</v>
      </c>
      <c r="C3" s="2">
        <v>69318.8</v>
      </c>
      <c r="D3" s="2">
        <v>72204.2</v>
      </c>
      <c r="E3" s="2">
        <v>68888.100000000006</v>
      </c>
      <c r="F3" t="s">
        <v>33</v>
      </c>
      <c r="G3" s="3">
        <v>1.4800000000000001E-2</v>
      </c>
      <c r="H3">
        <f t="shared" si="0"/>
        <v>64849.999999999993</v>
      </c>
      <c r="I3" t="str">
        <f t="shared" si="1"/>
        <v>Sun</v>
      </c>
      <c r="J3" s="2">
        <f t="shared" si="2"/>
        <v>70344.718240000002</v>
      </c>
      <c r="K3" s="2"/>
      <c r="L3" s="2"/>
      <c r="M3" s="2"/>
      <c r="N3" s="2"/>
      <c r="O3" s="10">
        <f t="shared" ref="O3:O29" si="3">PERCENTRANK(H3:H30,H3)</f>
        <v>0.307</v>
      </c>
      <c r="P3" t="str">
        <v/>
      </c>
      <c r="Q3">
        <f t="shared" ref="Q3:Q29" si="4">IF(AND($O3&lt;=Q$1,$O3&gt;P$1),H3,"")</f>
        <v>64849.999999999993</v>
      </c>
      <c r="R3" t="str">
        <f t="shared" ref="R3:R29" si="5">IF(AND($O3&lt;=R$1,$O3&gt;Q$1),H3,"")</f>
        <v/>
      </c>
      <c r="S3" t="str">
        <f t="shared" ref="S3:S29" si="6">IF(AND($O3&lt;=S$1,$O3&gt;R$1),$H3,"")</f>
        <v/>
      </c>
    </row>
    <row r="4" spans="1:19" x14ac:dyDescent="0.3">
      <c r="A4" s="1">
        <v>46062</v>
      </c>
      <c r="B4" s="2">
        <v>70127.899999999994</v>
      </c>
      <c r="C4" s="2">
        <v>70356</v>
      </c>
      <c r="D4" s="2">
        <v>71379.5</v>
      </c>
      <c r="E4" s="2">
        <v>68389.3</v>
      </c>
      <c r="F4" t="s">
        <v>32</v>
      </c>
      <c r="G4" s="3">
        <v>-3.0000000000000001E-3</v>
      </c>
      <c r="H4">
        <f t="shared" si="0"/>
        <v>89050</v>
      </c>
      <c r="I4" t="str">
        <f t="shared" si="1"/>
        <v>Mon</v>
      </c>
      <c r="J4" s="2">
        <f t="shared" si="2"/>
        <v>70144.932000000001</v>
      </c>
      <c r="K4" s="2"/>
      <c r="L4" s="2"/>
      <c r="M4" s="2"/>
      <c r="N4" s="2"/>
      <c r="O4" s="10">
        <f t="shared" si="3"/>
        <v>0.72</v>
      </c>
      <c r="P4" t="str">
        <v/>
      </c>
      <c r="Q4" t="str">
        <f t="shared" si="4"/>
        <v/>
      </c>
      <c r="R4">
        <f t="shared" si="5"/>
        <v>89050</v>
      </c>
      <c r="S4" t="str">
        <f t="shared" si="6"/>
        <v/>
      </c>
    </row>
    <row r="5" spans="1:19" x14ac:dyDescent="0.3">
      <c r="A5" s="1">
        <v>46063</v>
      </c>
      <c r="B5" s="2">
        <v>68810.3</v>
      </c>
      <c r="C5" s="2">
        <v>70122.7</v>
      </c>
      <c r="D5" s="2">
        <v>70474.2</v>
      </c>
      <c r="E5" s="2">
        <v>67958.3</v>
      </c>
      <c r="F5" t="s">
        <v>31</v>
      </c>
      <c r="G5" s="3">
        <v>-1.8800000000000001E-2</v>
      </c>
      <c r="H5">
        <f t="shared" si="0"/>
        <v>70290</v>
      </c>
      <c r="I5" t="str">
        <f t="shared" si="1"/>
        <v>Tue</v>
      </c>
      <c r="J5" s="2">
        <f t="shared" si="2"/>
        <v>68804.39323999999</v>
      </c>
      <c r="K5" s="2"/>
      <c r="L5" s="2"/>
      <c r="M5" s="2"/>
      <c r="N5" s="2"/>
      <c r="O5" s="10">
        <f t="shared" si="3"/>
        <v>0.375</v>
      </c>
      <c r="P5" t="str">
        <v/>
      </c>
      <c r="Q5">
        <f t="shared" si="4"/>
        <v>70290</v>
      </c>
      <c r="R5" t="str">
        <f t="shared" si="5"/>
        <v/>
      </c>
      <c r="S5" t="str">
        <f t="shared" si="6"/>
        <v/>
      </c>
    </row>
    <row r="6" spans="1:19" x14ac:dyDescent="0.3">
      <c r="A6" s="1">
        <v>46064</v>
      </c>
      <c r="B6" s="2">
        <v>67048.800000000003</v>
      </c>
      <c r="C6" s="2">
        <v>68809.2</v>
      </c>
      <c r="D6" s="2">
        <v>69273.899999999994</v>
      </c>
      <c r="E6" s="2">
        <v>65790</v>
      </c>
      <c r="F6" t="s">
        <v>30</v>
      </c>
      <c r="G6" s="3">
        <v>-2.5600000000000001E-2</v>
      </c>
      <c r="H6">
        <f t="shared" si="0"/>
        <v>89970</v>
      </c>
      <c r="I6" t="str">
        <f t="shared" si="1"/>
        <v>Wed</v>
      </c>
      <c r="J6" s="2">
        <f t="shared" si="2"/>
        <v>67047.684479999996</v>
      </c>
      <c r="K6" s="2"/>
      <c r="L6" s="2"/>
      <c r="M6" s="2"/>
      <c r="N6" s="2"/>
      <c r="O6" s="10">
        <f t="shared" si="3"/>
        <v>0.78200000000000003</v>
      </c>
      <c r="P6" t="str">
        <v/>
      </c>
      <c r="Q6" t="str">
        <f t="shared" si="4"/>
        <v/>
      </c>
      <c r="R6" t="str">
        <f t="shared" si="5"/>
        <v/>
      </c>
      <c r="S6">
        <f t="shared" si="6"/>
        <v>89970</v>
      </c>
    </row>
    <row r="7" spans="1:19" x14ac:dyDescent="0.3">
      <c r="A7" s="1">
        <v>46065</v>
      </c>
      <c r="B7" s="2">
        <v>66248.7</v>
      </c>
      <c r="C7" s="2">
        <v>67048.800000000003</v>
      </c>
      <c r="D7" s="2">
        <v>68349.5</v>
      </c>
      <c r="E7" s="2">
        <v>65138.1</v>
      </c>
      <c r="F7" t="s">
        <v>29</v>
      </c>
      <c r="G7" s="3">
        <v>-1.1900000000000001E-2</v>
      </c>
      <c r="H7">
        <f t="shared" si="0"/>
        <v>79760</v>
      </c>
      <c r="I7" t="str">
        <f t="shared" si="1"/>
        <v>Thu</v>
      </c>
      <c r="J7" s="2">
        <f t="shared" si="2"/>
        <v>66250.919280000002</v>
      </c>
      <c r="K7" s="2"/>
      <c r="L7" s="2"/>
      <c r="M7" s="2"/>
      <c r="N7" s="2"/>
      <c r="O7" s="10">
        <f t="shared" si="3"/>
        <v>0.68100000000000005</v>
      </c>
      <c r="P7" t="str">
        <v/>
      </c>
      <c r="Q7" t="str">
        <f t="shared" si="4"/>
        <v/>
      </c>
      <c r="R7">
        <f t="shared" si="5"/>
        <v>79760</v>
      </c>
      <c r="S7" t="str">
        <f t="shared" si="6"/>
        <v/>
      </c>
    </row>
    <row r="8" spans="1:19" x14ac:dyDescent="0.3">
      <c r="A8" s="1">
        <v>46066</v>
      </c>
      <c r="B8" s="2">
        <v>68883.399999999994</v>
      </c>
      <c r="C8" s="2">
        <v>66234.100000000006</v>
      </c>
      <c r="D8" s="2">
        <v>69405.5</v>
      </c>
      <c r="E8" s="2">
        <v>65871</v>
      </c>
      <c r="F8" t="s">
        <v>28</v>
      </c>
      <c r="G8" s="3">
        <v>3.9800000000000002E-2</v>
      </c>
      <c r="H8">
        <f t="shared" si="0"/>
        <v>70100</v>
      </c>
      <c r="I8" t="str">
        <f t="shared" si="1"/>
        <v>Fri</v>
      </c>
      <c r="J8" s="2">
        <f t="shared" si="2"/>
        <v>68870.217180000007</v>
      </c>
      <c r="K8" s="2"/>
      <c r="L8" s="2"/>
      <c r="M8" s="2"/>
      <c r="N8" s="2"/>
      <c r="O8" s="10">
        <f t="shared" si="3"/>
        <v>0.38</v>
      </c>
      <c r="P8" t="str">
        <v/>
      </c>
      <c r="Q8">
        <f t="shared" si="4"/>
        <v>70100</v>
      </c>
      <c r="R8" t="str">
        <f t="shared" si="5"/>
        <v/>
      </c>
      <c r="S8" t="str">
        <f t="shared" si="6"/>
        <v/>
      </c>
    </row>
    <row r="9" spans="1:19" x14ac:dyDescent="0.3">
      <c r="A9" s="1">
        <v>46067</v>
      </c>
      <c r="B9" s="2">
        <v>69784.399999999994</v>
      </c>
      <c r="C9" s="2">
        <v>68828.7</v>
      </c>
      <c r="D9" s="2">
        <v>70494.5</v>
      </c>
      <c r="E9" s="2">
        <v>68725.600000000006</v>
      </c>
      <c r="F9" t="s">
        <v>27</v>
      </c>
      <c r="G9" s="3">
        <v>1.3100000000000001E-2</v>
      </c>
      <c r="H9">
        <f t="shared" si="0"/>
        <v>56530</v>
      </c>
      <c r="I9" t="str">
        <f t="shared" si="1"/>
        <v>Sat</v>
      </c>
      <c r="J9" s="2">
        <f t="shared" si="2"/>
        <v>69730.355970000004</v>
      </c>
      <c r="K9" s="2"/>
      <c r="L9" s="2"/>
      <c r="M9" s="2"/>
      <c r="N9" s="2"/>
      <c r="O9" s="10">
        <f t="shared" si="3"/>
        <v>0.25</v>
      </c>
      <c r="P9">
        <v>56530</v>
      </c>
      <c r="Q9" t="str">
        <f t="shared" si="4"/>
        <v/>
      </c>
      <c r="R9" t="str">
        <f t="shared" si="5"/>
        <v/>
      </c>
      <c r="S9" t="str">
        <f t="shared" si="6"/>
        <v/>
      </c>
    </row>
    <row r="10" spans="1:19" x14ac:dyDescent="0.3">
      <c r="A10" s="1">
        <v>46068</v>
      </c>
      <c r="B10" s="2">
        <v>68813.8</v>
      </c>
      <c r="C10" s="2">
        <v>69797</v>
      </c>
      <c r="D10" s="2">
        <v>70961.2</v>
      </c>
      <c r="E10" s="2">
        <v>68076.100000000006</v>
      </c>
      <c r="F10" t="s">
        <v>26</v>
      </c>
      <c r="G10" s="3">
        <v>-1.3899999999999999E-2</v>
      </c>
      <c r="H10">
        <f t="shared" si="0"/>
        <v>59220</v>
      </c>
      <c r="I10" t="str">
        <f t="shared" si="1"/>
        <v>Sun</v>
      </c>
      <c r="J10" s="2">
        <f t="shared" si="2"/>
        <v>68826.8217</v>
      </c>
      <c r="K10" s="2"/>
      <c r="L10" s="2"/>
      <c r="M10" s="2"/>
      <c r="N10" s="2"/>
      <c r="O10" s="10">
        <f t="shared" si="3"/>
        <v>0.315</v>
      </c>
      <c r="P10" t="str">
        <v/>
      </c>
      <c r="Q10">
        <f t="shared" si="4"/>
        <v>59220</v>
      </c>
      <c r="R10" t="str">
        <f t="shared" si="5"/>
        <v/>
      </c>
      <c r="S10" t="str">
        <f t="shared" si="6"/>
        <v/>
      </c>
    </row>
    <row r="11" spans="1:19" x14ac:dyDescent="0.3">
      <c r="A11" s="1">
        <v>46069</v>
      </c>
      <c r="B11" s="2">
        <v>68890.7</v>
      </c>
      <c r="C11" s="2">
        <v>68818.7</v>
      </c>
      <c r="D11" s="2">
        <v>70076</v>
      </c>
      <c r="E11" s="2">
        <v>67315</v>
      </c>
      <c r="F11" t="s">
        <v>25</v>
      </c>
      <c r="G11" s="3">
        <v>1.1000000000000001E-3</v>
      </c>
      <c r="H11">
        <f t="shared" si="0"/>
        <v>52190</v>
      </c>
      <c r="I11" t="str">
        <f t="shared" si="1"/>
        <v>Mon</v>
      </c>
      <c r="J11" s="2">
        <f t="shared" si="2"/>
        <v>68894.400569999998</v>
      </c>
      <c r="K11" s="2"/>
      <c r="L11" s="2"/>
      <c r="M11" s="2"/>
      <c r="N11" s="2"/>
      <c r="O11" s="10">
        <f t="shared" si="3"/>
        <v>0.111</v>
      </c>
      <c r="P11">
        <v>52190</v>
      </c>
      <c r="Q11" t="str">
        <f t="shared" si="4"/>
        <v/>
      </c>
      <c r="R11" t="str">
        <f t="shared" si="5"/>
        <v/>
      </c>
      <c r="S11" t="str">
        <f t="shared" si="6"/>
        <v/>
      </c>
    </row>
    <row r="12" spans="1:19" x14ac:dyDescent="0.3">
      <c r="A12" s="1">
        <v>46070</v>
      </c>
      <c r="B12" s="2">
        <v>67490.899999999994</v>
      </c>
      <c r="C12" s="2">
        <v>68889.399999999994</v>
      </c>
      <c r="D12" s="2">
        <v>69174.399999999994</v>
      </c>
      <c r="E12" s="2">
        <v>66649.2</v>
      </c>
      <c r="F12" t="s">
        <v>24</v>
      </c>
      <c r="G12" s="3">
        <v>-2.0299999999999999E-2</v>
      </c>
      <c r="H12">
        <f t="shared" si="0"/>
        <v>54940</v>
      </c>
      <c r="I12" t="str">
        <f t="shared" si="1"/>
        <v>Tue</v>
      </c>
      <c r="J12" s="2">
        <f t="shared" si="2"/>
        <v>67490.945179999995</v>
      </c>
      <c r="K12" s="2"/>
      <c r="L12" s="2"/>
      <c r="M12" s="2"/>
      <c r="N12" s="2"/>
      <c r="O12" s="10">
        <f t="shared" si="3"/>
        <v>0.17599999999999999</v>
      </c>
      <c r="P12">
        <v>54940</v>
      </c>
      <c r="Q12" t="str">
        <f t="shared" si="4"/>
        <v/>
      </c>
      <c r="R12" t="str">
        <f t="shared" si="5"/>
        <v/>
      </c>
      <c r="S12" t="str">
        <f t="shared" si="6"/>
        <v/>
      </c>
    </row>
    <row r="13" spans="1:19" x14ac:dyDescent="0.3">
      <c r="A13" s="1">
        <v>46071</v>
      </c>
      <c r="B13" s="2">
        <v>66473.2</v>
      </c>
      <c r="C13" s="2">
        <v>67495.7</v>
      </c>
      <c r="D13" s="2">
        <v>68445.8</v>
      </c>
      <c r="E13" s="2">
        <v>65896.5</v>
      </c>
      <c r="F13" t="s">
        <v>23</v>
      </c>
      <c r="G13" s="3">
        <v>-1.5100000000000001E-2</v>
      </c>
      <c r="H13">
        <f t="shared" si="0"/>
        <v>56700</v>
      </c>
      <c r="I13" t="str">
        <f t="shared" si="1"/>
        <v>Wed</v>
      </c>
      <c r="J13" s="2">
        <f t="shared" si="2"/>
        <v>66476.51492999999</v>
      </c>
      <c r="K13" s="2"/>
      <c r="L13" s="2"/>
      <c r="M13" s="2"/>
      <c r="N13" s="2"/>
      <c r="O13" s="10">
        <f t="shared" si="3"/>
        <v>0.187</v>
      </c>
      <c r="P13">
        <v>56700</v>
      </c>
      <c r="Q13" t="str">
        <f t="shared" si="4"/>
        <v/>
      </c>
      <c r="R13" t="str">
        <f t="shared" si="5"/>
        <v/>
      </c>
      <c r="S13" t="str">
        <f t="shared" si="6"/>
        <v/>
      </c>
    </row>
    <row r="14" spans="1:19" x14ac:dyDescent="0.3">
      <c r="A14" s="1">
        <v>46072</v>
      </c>
      <c r="B14" s="2">
        <v>66978.899999999994</v>
      </c>
      <c r="C14" s="2">
        <v>66466.7</v>
      </c>
      <c r="D14" s="2">
        <v>67304.600000000006</v>
      </c>
      <c r="E14" s="2">
        <v>65653.5</v>
      </c>
      <c r="F14" t="s">
        <v>22</v>
      </c>
      <c r="G14" s="3">
        <v>7.6E-3</v>
      </c>
      <c r="H14">
        <f t="shared" si="0"/>
        <v>53720</v>
      </c>
      <c r="I14" t="str">
        <f t="shared" si="1"/>
        <v>Thu</v>
      </c>
      <c r="J14" s="2">
        <f t="shared" si="2"/>
        <v>66971.846919999996</v>
      </c>
      <c r="K14" s="2"/>
      <c r="L14" s="2"/>
      <c r="M14" s="2"/>
      <c r="N14" s="2"/>
      <c r="O14" s="10">
        <f t="shared" si="3"/>
        <v>0.13300000000000001</v>
      </c>
      <c r="P14">
        <v>53720</v>
      </c>
      <c r="Q14" t="str">
        <f t="shared" si="4"/>
        <v/>
      </c>
      <c r="R14" t="str">
        <f t="shared" si="5"/>
        <v/>
      </c>
      <c r="S14" t="str">
        <f t="shared" si="6"/>
        <v/>
      </c>
    </row>
    <row r="15" spans="1:19" x14ac:dyDescent="0.3">
      <c r="A15" s="1">
        <v>46073</v>
      </c>
      <c r="B15" s="2">
        <v>68023.5</v>
      </c>
      <c r="C15" s="2">
        <v>66983.7</v>
      </c>
      <c r="D15" s="2">
        <v>68299.399999999994</v>
      </c>
      <c r="E15" s="2">
        <v>66501.8</v>
      </c>
      <c r="F15" t="s">
        <v>21</v>
      </c>
      <c r="G15" s="3">
        <v>1.5599999999999999E-2</v>
      </c>
      <c r="H15">
        <f t="shared" si="0"/>
        <v>90380</v>
      </c>
      <c r="I15" t="str">
        <f t="shared" si="1"/>
        <v>Fri</v>
      </c>
      <c r="J15" s="2">
        <f t="shared" si="2"/>
        <v>68028.64572</v>
      </c>
      <c r="K15" s="2"/>
      <c r="L15" s="2"/>
      <c r="M15" s="2"/>
      <c r="N15" s="2"/>
      <c r="O15" s="10">
        <f t="shared" si="3"/>
        <v>0.71399999999999997</v>
      </c>
      <c r="P15" t="str">
        <v/>
      </c>
      <c r="Q15" t="str">
        <f t="shared" si="4"/>
        <v/>
      </c>
      <c r="R15">
        <f t="shared" si="5"/>
        <v>90380</v>
      </c>
      <c r="S15" t="str">
        <f t="shared" si="6"/>
        <v/>
      </c>
    </row>
    <row r="16" spans="1:19" x14ac:dyDescent="0.3">
      <c r="A16" s="1">
        <v>46074</v>
      </c>
      <c r="B16" s="2">
        <v>68011.100000000006</v>
      </c>
      <c r="C16" s="2">
        <v>68018.100000000006</v>
      </c>
      <c r="D16" s="2">
        <v>68673.3</v>
      </c>
      <c r="E16" s="2">
        <v>67556.399999999994</v>
      </c>
      <c r="F16" t="s">
        <v>20</v>
      </c>
      <c r="G16" s="3">
        <v>-2.0000000000000001E-4</v>
      </c>
      <c r="H16">
        <f t="shared" si="0"/>
        <v>31400</v>
      </c>
      <c r="I16" t="str">
        <f t="shared" si="1"/>
        <v>Sat</v>
      </c>
      <c r="J16" s="2">
        <f t="shared" si="2"/>
        <v>68004.496380000011</v>
      </c>
      <c r="K16" s="2"/>
      <c r="L16" s="2"/>
      <c r="M16" s="2"/>
      <c r="N16" s="2"/>
      <c r="O16" s="10">
        <f t="shared" si="3"/>
        <v>0</v>
      </c>
      <c r="P16">
        <v>31400</v>
      </c>
      <c r="Q16" t="str">
        <f t="shared" si="4"/>
        <v/>
      </c>
      <c r="R16" t="str">
        <f t="shared" si="5"/>
        <v/>
      </c>
      <c r="S16" t="str">
        <f t="shared" si="6"/>
        <v/>
      </c>
    </row>
    <row r="17" spans="1:19" x14ac:dyDescent="0.3">
      <c r="A17" s="1">
        <v>46075</v>
      </c>
      <c r="B17" s="2">
        <v>67642.899999999994</v>
      </c>
      <c r="C17" s="2">
        <v>68003</v>
      </c>
      <c r="D17" s="2">
        <v>68243.100000000006</v>
      </c>
      <c r="E17" s="2">
        <v>67197.7</v>
      </c>
      <c r="F17" t="s">
        <v>19</v>
      </c>
      <c r="G17" s="3">
        <v>-5.4000000000000003E-3</v>
      </c>
      <c r="H17">
        <f t="shared" si="0"/>
        <v>32600</v>
      </c>
      <c r="I17" t="str">
        <f t="shared" si="1"/>
        <v>Sun</v>
      </c>
      <c r="J17" s="2">
        <f t="shared" si="2"/>
        <v>67635.783800000005</v>
      </c>
      <c r="K17" s="2"/>
      <c r="L17" s="2"/>
      <c r="M17" s="2"/>
      <c r="N17" s="2"/>
      <c r="O17" s="10">
        <f t="shared" si="3"/>
        <v>0</v>
      </c>
      <c r="P17">
        <v>32600</v>
      </c>
      <c r="Q17" t="str">
        <f t="shared" si="4"/>
        <v/>
      </c>
      <c r="R17" t="str">
        <f t="shared" si="5"/>
        <v/>
      </c>
      <c r="S17" t="str">
        <f t="shared" si="6"/>
        <v/>
      </c>
    </row>
    <row r="18" spans="1:19" x14ac:dyDescent="0.3">
      <c r="A18" s="1">
        <v>46076</v>
      </c>
      <c r="B18" s="2">
        <v>64662.7</v>
      </c>
      <c r="C18" s="2">
        <v>67640</v>
      </c>
      <c r="D18" s="2">
        <v>67665.399999999994</v>
      </c>
      <c r="E18" s="2">
        <v>63939</v>
      </c>
      <c r="F18" t="s">
        <v>18</v>
      </c>
      <c r="G18" s="3">
        <v>-4.41E-2</v>
      </c>
      <c r="H18">
        <f t="shared" si="0"/>
        <v>108840</v>
      </c>
      <c r="I18" t="str">
        <f t="shared" si="1"/>
        <v>Mon</v>
      </c>
      <c r="J18" s="2">
        <f t="shared" si="2"/>
        <v>64657.076000000001</v>
      </c>
      <c r="K18" s="2"/>
      <c r="L18" s="2"/>
      <c r="M18" s="2"/>
      <c r="N18" s="2"/>
      <c r="O18" s="10">
        <f t="shared" si="3"/>
        <v>0.90900000000000003</v>
      </c>
      <c r="P18" t="str">
        <v/>
      </c>
      <c r="Q18" t="str">
        <f t="shared" si="4"/>
        <v/>
      </c>
      <c r="R18" t="str">
        <f t="shared" si="5"/>
        <v/>
      </c>
      <c r="S18">
        <f t="shared" si="6"/>
        <v>108840</v>
      </c>
    </row>
    <row r="19" spans="1:19" x14ac:dyDescent="0.3">
      <c r="A19" s="1">
        <v>46077</v>
      </c>
      <c r="B19" s="2">
        <v>64048.800000000003</v>
      </c>
      <c r="C19" s="2">
        <v>64655.199999999997</v>
      </c>
      <c r="D19" s="2">
        <v>65002.3</v>
      </c>
      <c r="E19" s="2">
        <v>62650.1</v>
      </c>
      <c r="F19" t="s">
        <v>17</v>
      </c>
      <c r="G19" s="3">
        <v>-9.4999999999999998E-3</v>
      </c>
      <c r="H19">
        <f t="shared" si="0"/>
        <v>79660</v>
      </c>
      <c r="I19" t="str">
        <f t="shared" si="1"/>
        <v>Tue</v>
      </c>
      <c r="J19" s="2">
        <f t="shared" si="2"/>
        <v>64040.975599999998</v>
      </c>
      <c r="K19" s="2"/>
      <c r="L19" s="2"/>
      <c r="M19" s="2"/>
      <c r="N19" s="2"/>
      <c r="O19" s="10">
        <f t="shared" si="3"/>
        <v>0.5</v>
      </c>
      <c r="P19" t="str">
        <v/>
      </c>
      <c r="Q19">
        <f t="shared" si="4"/>
        <v>79660</v>
      </c>
      <c r="R19" t="str">
        <f t="shared" si="5"/>
        <v/>
      </c>
      <c r="S19" t="str">
        <f t="shared" si="6"/>
        <v/>
      </c>
    </row>
    <row r="20" spans="1:19" x14ac:dyDescent="0.3">
      <c r="A20" s="1">
        <v>46078</v>
      </c>
      <c r="B20" s="2">
        <v>67978.8</v>
      </c>
      <c r="C20" s="2">
        <v>64058.2</v>
      </c>
      <c r="D20" s="2">
        <v>69819.3</v>
      </c>
      <c r="E20" s="2">
        <v>63930.400000000001</v>
      </c>
      <c r="F20" t="s">
        <v>16</v>
      </c>
      <c r="G20" s="3">
        <v>6.1400000000000003E-2</v>
      </c>
      <c r="H20">
        <f t="shared" si="0"/>
        <v>105590</v>
      </c>
      <c r="I20" t="str">
        <f t="shared" si="1"/>
        <v>Wed</v>
      </c>
      <c r="J20" s="2">
        <f t="shared" si="2"/>
        <v>67991.373479999995</v>
      </c>
      <c r="K20" s="2"/>
      <c r="L20" s="2"/>
      <c r="M20" s="2"/>
      <c r="N20" s="2"/>
      <c r="O20" s="10">
        <f t="shared" si="3"/>
        <v>0.77700000000000002</v>
      </c>
      <c r="P20" t="str">
        <v/>
      </c>
      <c r="Q20" t="str">
        <f t="shared" si="4"/>
        <v/>
      </c>
      <c r="R20" t="str">
        <f t="shared" si="5"/>
        <v/>
      </c>
      <c r="S20">
        <f t="shared" si="6"/>
        <v>105590</v>
      </c>
    </row>
    <row r="21" spans="1:19" x14ac:dyDescent="0.3">
      <c r="A21" s="1">
        <v>46079</v>
      </c>
      <c r="B21" s="2">
        <v>67482.100000000006</v>
      </c>
      <c r="C21" s="2">
        <v>67987.199999999997</v>
      </c>
      <c r="D21" s="2">
        <v>68842.899999999994</v>
      </c>
      <c r="E21" s="2">
        <v>66573.7</v>
      </c>
      <c r="F21" t="s">
        <v>15</v>
      </c>
      <c r="G21" s="3">
        <v>-7.3000000000000001E-3</v>
      </c>
      <c r="H21">
        <f t="shared" si="0"/>
        <v>72070</v>
      </c>
      <c r="I21" t="str">
        <f t="shared" si="1"/>
        <v>Thu</v>
      </c>
      <c r="J21" s="2">
        <f t="shared" si="2"/>
        <v>67490.89344</v>
      </c>
      <c r="K21" s="2">
        <f>AVERAGE(J2:J21)</f>
        <v>67851.213205500011</v>
      </c>
      <c r="L21" s="2">
        <f>_xlfn.STDEV.P(J2:J21)</f>
        <v>1614.4455639477528</v>
      </c>
      <c r="M21" s="2">
        <f t="shared" ref="M21:M29" si="7">K21+2*L21</f>
        <v>71080.104333395517</v>
      </c>
      <c r="N21" s="2">
        <f t="shared" ref="N21:N29" si="8">K21-2*L21</f>
        <v>64622.322077604505</v>
      </c>
      <c r="O21" s="10">
        <f t="shared" si="3"/>
        <v>0.125</v>
      </c>
      <c r="P21">
        <v>72070</v>
      </c>
      <c r="Q21" t="str">
        <f t="shared" si="4"/>
        <v/>
      </c>
      <c r="R21" t="str">
        <f t="shared" si="5"/>
        <v/>
      </c>
      <c r="S21" t="str">
        <f t="shared" si="6"/>
        <v/>
      </c>
    </row>
    <row r="22" spans="1:19" x14ac:dyDescent="0.3">
      <c r="A22" s="1">
        <v>46080</v>
      </c>
      <c r="B22" s="2">
        <v>65870.2</v>
      </c>
      <c r="C22" s="2">
        <v>67487.7</v>
      </c>
      <c r="D22" s="2">
        <v>68190.8</v>
      </c>
      <c r="E22" s="2">
        <v>65018.7</v>
      </c>
      <c r="F22" t="s">
        <v>14</v>
      </c>
      <c r="G22" s="3">
        <v>-2.3900000000000001E-2</v>
      </c>
      <c r="H22">
        <f t="shared" si="0"/>
        <v>75210</v>
      </c>
      <c r="I22" t="str">
        <f t="shared" si="1"/>
        <v>Fri</v>
      </c>
      <c r="J22" s="2">
        <f t="shared" si="2"/>
        <v>65874.743969999996</v>
      </c>
      <c r="K22" s="2">
        <f>AVERAGE(J19:J22)</f>
        <v>66349.496622499995</v>
      </c>
      <c r="L22" s="2">
        <f>_xlfn.STDEV.P(J19:J22)</f>
        <v>1545.4130275247965</v>
      </c>
      <c r="M22" s="2">
        <f t="shared" si="7"/>
        <v>69440.322677549586</v>
      </c>
      <c r="N22" s="2">
        <f t="shared" si="8"/>
        <v>63258.670567450405</v>
      </c>
      <c r="O22" s="10">
        <f t="shared" si="3"/>
        <v>0.14199999999999999</v>
      </c>
      <c r="P22">
        <v>75210</v>
      </c>
      <c r="Q22" t="str">
        <f t="shared" si="4"/>
        <v/>
      </c>
      <c r="R22" t="str">
        <f t="shared" si="5"/>
        <v/>
      </c>
      <c r="S22" t="str">
        <f t="shared" si="6"/>
        <v/>
      </c>
    </row>
    <row r="23" spans="1:19" x14ac:dyDescent="0.3">
      <c r="A23" s="1">
        <v>46081</v>
      </c>
      <c r="B23" s="2">
        <v>66995</v>
      </c>
      <c r="C23" s="2">
        <v>65881.5</v>
      </c>
      <c r="D23" s="2">
        <v>67657.399999999994</v>
      </c>
      <c r="E23" s="2">
        <v>63068.7</v>
      </c>
      <c r="F23" t="s">
        <v>13</v>
      </c>
      <c r="G23" s="3">
        <v>1.7100000000000001E-2</v>
      </c>
      <c r="H23">
        <f t="shared" si="0"/>
        <v>78940</v>
      </c>
      <c r="I23" t="str">
        <f t="shared" si="1"/>
        <v>Sat</v>
      </c>
      <c r="J23" s="2">
        <f t="shared" si="2"/>
        <v>67008.073649999991</v>
      </c>
      <c r="K23" s="2">
        <f>AVERAGE(J11:J23)</f>
        <v>66966.597664615387</v>
      </c>
      <c r="L23" s="2">
        <f>_xlfn.STDEV.P(J11:J23)</f>
        <v>1338.6742570247031</v>
      </c>
      <c r="M23" s="2">
        <f t="shared" si="7"/>
        <v>69643.946178664788</v>
      </c>
      <c r="N23" s="2">
        <f t="shared" si="8"/>
        <v>64289.249150565978</v>
      </c>
      <c r="O23" s="10">
        <f t="shared" si="3"/>
        <v>0.33300000000000002</v>
      </c>
      <c r="P23" t="str">
        <v/>
      </c>
      <c r="Q23">
        <f t="shared" si="4"/>
        <v>78940</v>
      </c>
      <c r="R23" t="str">
        <f t="shared" si="5"/>
        <v/>
      </c>
      <c r="S23" t="str">
        <f t="shared" si="6"/>
        <v/>
      </c>
    </row>
    <row r="24" spans="1:19" x14ac:dyDescent="0.3">
      <c r="A24" s="1">
        <v>46082</v>
      </c>
      <c r="B24" s="2">
        <v>65763.3</v>
      </c>
      <c r="C24" s="2">
        <v>66990.7</v>
      </c>
      <c r="D24" s="2">
        <v>68159.199999999997</v>
      </c>
      <c r="E24" s="2">
        <v>65093.1</v>
      </c>
      <c r="F24" t="s">
        <v>12</v>
      </c>
      <c r="G24" s="3">
        <v>-1.84E-2</v>
      </c>
      <c r="H24">
        <f t="shared" si="0"/>
        <v>71350</v>
      </c>
      <c r="I24" t="str">
        <f t="shared" si="1"/>
        <v>Sun</v>
      </c>
      <c r="J24" s="2">
        <f t="shared" si="2"/>
        <v>65758.071119999993</v>
      </c>
      <c r="K24" s="2">
        <f>AVERAGE(J8:J24)</f>
        <v>67279.484447647046</v>
      </c>
      <c r="L24" s="2">
        <f>_xlfn.STDEV.P(J8:J24)</f>
        <v>1491.4553236458473</v>
      </c>
      <c r="M24" s="2">
        <f t="shared" si="7"/>
        <v>70262.395094938736</v>
      </c>
      <c r="N24" s="2">
        <f t="shared" si="8"/>
        <v>64296.573800355349</v>
      </c>
      <c r="O24" s="10">
        <f t="shared" si="3"/>
        <v>0</v>
      </c>
      <c r="P24">
        <v>71350</v>
      </c>
      <c r="Q24" t="str">
        <f t="shared" si="4"/>
        <v/>
      </c>
      <c r="R24" t="str">
        <f t="shared" si="5"/>
        <v/>
      </c>
      <c r="S24" t="str">
        <f t="shared" si="6"/>
        <v/>
      </c>
    </row>
    <row r="25" spans="1:19" x14ac:dyDescent="0.3">
      <c r="A25" s="1">
        <v>46083</v>
      </c>
      <c r="B25" s="2">
        <v>68790.8</v>
      </c>
      <c r="C25" s="2">
        <v>65806.600000000006</v>
      </c>
      <c r="D25" s="2">
        <v>69986.399999999994</v>
      </c>
      <c r="E25" s="2">
        <v>65307.8</v>
      </c>
      <c r="F25" t="s">
        <v>11</v>
      </c>
      <c r="G25" s="3">
        <v>4.5999999999999999E-2</v>
      </c>
      <c r="H25">
        <f t="shared" si="0"/>
        <v>108800</v>
      </c>
      <c r="I25" t="str">
        <f t="shared" si="1"/>
        <v>Mon</v>
      </c>
      <c r="J25" s="2">
        <f t="shared" si="2"/>
        <v>68833.703600000008</v>
      </c>
      <c r="K25" s="2">
        <f>AVERAGE(J17:J25)</f>
        <v>66587.85496222222</v>
      </c>
      <c r="L25" s="2">
        <f>_xlfn.STDEV.P(J17:J25)</f>
        <v>1509.8008632200206</v>
      </c>
      <c r="M25" s="2">
        <f t="shared" si="7"/>
        <v>69607.456688662263</v>
      </c>
      <c r="N25" s="2">
        <f t="shared" si="8"/>
        <v>63568.253235782176</v>
      </c>
      <c r="O25" s="10">
        <f t="shared" si="3"/>
        <v>0.75</v>
      </c>
      <c r="P25" t="str">
        <v/>
      </c>
      <c r="Q25" t="str">
        <f t="shared" si="4"/>
        <v/>
      </c>
      <c r="R25">
        <f t="shared" si="5"/>
        <v>108800</v>
      </c>
      <c r="S25" t="str">
        <f t="shared" si="6"/>
        <v/>
      </c>
    </row>
    <row r="26" spans="1:19" x14ac:dyDescent="0.3">
      <c r="A26" s="1">
        <v>46084</v>
      </c>
      <c r="B26" s="2">
        <v>68318.5</v>
      </c>
      <c r="C26" s="2">
        <v>68802.7</v>
      </c>
      <c r="D26" s="2">
        <v>69213.3</v>
      </c>
      <c r="E26" s="2">
        <v>66288.7</v>
      </c>
      <c r="F26" t="s">
        <v>10</v>
      </c>
      <c r="G26" s="3">
        <v>-6.8999999999999999E-3</v>
      </c>
      <c r="H26">
        <f t="shared" si="0"/>
        <v>80590</v>
      </c>
      <c r="I26" t="str">
        <f t="shared" si="1"/>
        <v>Tue</v>
      </c>
      <c r="J26" s="2">
        <f t="shared" si="2"/>
        <v>68327.96136999999</v>
      </c>
      <c r="K26" s="2">
        <f>AVERAGE(J7:J26)</f>
        <v>67358.190992999997</v>
      </c>
      <c r="L26" s="2">
        <f>_xlfn.STDEV.P(J7:J26)</f>
        <v>1453.6921206027857</v>
      </c>
      <c r="M26" s="2">
        <f t="shared" si="7"/>
        <v>70265.575234205564</v>
      </c>
      <c r="N26" s="2">
        <f t="shared" si="8"/>
        <v>64450.806751794422</v>
      </c>
      <c r="O26" s="10">
        <f t="shared" si="3"/>
        <v>0.33300000000000002</v>
      </c>
      <c r="P26" t="str">
        <v/>
      </c>
      <c r="Q26">
        <f t="shared" si="4"/>
        <v>80590</v>
      </c>
      <c r="R26" t="str">
        <f t="shared" si="5"/>
        <v/>
      </c>
      <c r="S26" t="str">
        <f t="shared" si="6"/>
        <v/>
      </c>
    </row>
    <row r="27" spans="1:19" x14ac:dyDescent="0.3">
      <c r="A27" s="1">
        <v>46085</v>
      </c>
      <c r="B27" s="2">
        <v>72768.7</v>
      </c>
      <c r="C27" s="2">
        <v>68319.3</v>
      </c>
      <c r="D27" s="2">
        <v>74031</v>
      </c>
      <c r="E27" s="2">
        <v>67426.399999999994</v>
      </c>
      <c r="F27" t="s">
        <v>9</v>
      </c>
      <c r="G27" s="3">
        <v>6.5100000000000005E-2</v>
      </c>
      <c r="H27">
        <f t="shared" si="0"/>
        <v>136550</v>
      </c>
      <c r="I27" t="str">
        <f t="shared" si="1"/>
        <v>Wed</v>
      </c>
      <c r="J27" s="2">
        <f t="shared" si="2"/>
        <v>72766.886429999999</v>
      </c>
      <c r="K27" s="2">
        <f>AVERAGE(J8:J27)</f>
        <v>67683.989350499993</v>
      </c>
      <c r="L27" s="2">
        <f>_xlfn.STDEV.P(J8:J27)</f>
        <v>1846.2050254355986</v>
      </c>
      <c r="M27" s="2">
        <f t="shared" si="7"/>
        <v>71376.399401371193</v>
      </c>
      <c r="N27" s="2">
        <f t="shared" si="8"/>
        <v>63991.579299628793</v>
      </c>
      <c r="O27" s="10">
        <f t="shared" si="3"/>
        <v>1</v>
      </c>
      <c r="P27" t="str">
        <v/>
      </c>
      <c r="Q27" t="str">
        <f t="shared" si="4"/>
        <v/>
      </c>
      <c r="R27" t="str">
        <f t="shared" si="5"/>
        <v/>
      </c>
      <c r="S27">
        <f t="shared" si="6"/>
        <v>136550</v>
      </c>
    </row>
    <row r="28" spans="1:19" x14ac:dyDescent="0.3">
      <c r="A28" s="1">
        <v>46086</v>
      </c>
      <c r="B28" s="2">
        <v>70887.5</v>
      </c>
      <c r="C28" s="2">
        <v>72744.3</v>
      </c>
      <c r="D28" s="2">
        <v>73540.2</v>
      </c>
      <c r="E28" s="2">
        <v>70661.7</v>
      </c>
      <c r="F28" t="s">
        <v>8</v>
      </c>
      <c r="G28" s="3">
        <v>-2.5899999999999999E-2</v>
      </c>
      <c r="H28">
        <f t="shared" si="0"/>
        <v>89380</v>
      </c>
      <c r="I28" t="str">
        <f t="shared" si="1"/>
        <v>Thu</v>
      </c>
      <c r="J28" s="2">
        <f t="shared" si="2"/>
        <v>70860.222630000004</v>
      </c>
      <c r="K28" s="2">
        <f>AVERAGE(J9:J28)</f>
        <v>67783.489622999987</v>
      </c>
      <c r="L28" s="2">
        <f>_xlfn.STDEV.P(J9:J28)</f>
        <v>1957.712634896204</v>
      </c>
      <c r="M28" s="2">
        <f t="shared" si="7"/>
        <v>71698.914892792396</v>
      </c>
      <c r="N28" s="2">
        <f t="shared" si="8"/>
        <v>63868.064353207577</v>
      </c>
      <c r="O28" s="10">
        <f t="shared" si="3"/>
        <v>1</v>
      </c>
      <c r="P28" t="str">
        <v/>
      </c>
      <c r="Q28" t="str">
        <f t="shared" si="4"/>
        <v/>
      </c>
      <c r="R28" t="str">
        <f t="shared" si="5"/>
        <v/>
      </c>
      <c r="S28">
        <f t="shared" si="6"/>
        <v>89380</v>
      </c>
    </row>
    <row r="29" spans="1:19" x14ac:dyDescent="0.3">
      <c r="A29" s="1">
        <v>46087</v>
      </c>
      <c r="B29" s="2">
        <v>68429.3</v>
      </c>
      <c r="C29" s="2">
        <v>70892.899999999994</v>
      </c>
      <c r="D29" s="2">
        <v>71361.100000000006</v>
      </c>
      <c r="E29" s="2">
        <v>67755.5</v>
      </c>
      <c r="F29" t="s">
        <v>7</v>
      </c>
      <c r="G29" s="3">
        <v>-3.4700000000000002E-2</v>
      </c>
      <c r="H29">
        <f t="shared" si="0"/>
        <v>77700</v>
      </c>
      <c r="I29" t="str">
        <f t="shared" si="1"/>
        <v>Fri</v>
      </c>
      <c r="J29" s="2">
        <f t="shared" si="2"/>
        <v>68432.916369999992</v>
      </c>
      <c r="K29" s="2">
        <f>AVERAGE(J25:J29)</f>
        <v>69844.338079999987</v>
      </c>
      <c r="L29" s="2">
        <f>_xlfn.STDEV.P(J25:J29)</f>
        <v>1725.4681625153842</v>
      </c>
      <c r="M29" s="2">
        <f t="shared" si="7"/>
        <v>73295.274405030752</v>
      </c>
      <c r="N29" s="2">
        <f t="shared" si="8"/>
        <v>66393.401754969222</v>
      </c>
      <c r="O29" s="10">
        <f t="shared" si="3"/>
        <v>1</v>
      </c>
      <c r="P29" t="str">
        <v/>
      </c>
      <c r="Q29" t="str">
        <f t="shared" si="4"/>
        <v/>
      </c>
      <c r="R29" t="str">
        <f t="shared" si="5"/>
        <v/>
      </c>
      <c r="S29">
        <f t="shared" si="6"/>
        <v>77700</v>
      </c>
    </row>
  </sheetData>
  <sortState xmlns:xlrd2="http://schemas.microsoft.com/office/spreadsheetml/2017/richdata2" ref="A2:N29">
    <sortCondition ref="A2:A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3CCA1-9749-4B7C-843A-6D9A10F39273}">
  <dimension ref="A1:BF29"/>
  <sheetViews>
    <sheetView showGridLines="0" tabSelected="1" topLeftCell="O22" zoomScale="40" zoomScaleNormal="40" workbookViewId="0">
      <selection activeCell="AG83" sqref="AG83"/>
    </sheetView>
  </sheetViews>
  <sheetFormatPr defaultRowHeight="14.4" x14ac:dyDescent="0.3"/>
  <cols>
    <col min="1" max="1" width="13.109375" hidden="1" customWidth="1"/>
    <col min="2" max="2" width="11.44140625" hidden="1" customWidth="1"/>
    <col min="3" max="3" width="11" hidden="1" customWidth="1"/>
    <col min="4" max="4" width="12.21875" hidden="1" customWidth="1"/>
    <col min="5" max="5" width="12.109375" hidden="1" customWidth="1"/>
    <col min="6" max="6" width="13.109375" hidden="1" customWidth="1"/>
    <col min="7" max="7" width="10" hidden="1" customWidth="1"/>
    <col min="8" max="8" width="14.5546875" hidden="1" customWidth="1"/>
    <col min="9" max="9" width="11.33203125" hidden="1" customWidth="1"/>
    <col min="10" max="10" width="11.6640625" hidden="1" customWidth="1"/>
    <col min="11" max="11" width="14.109375" hidden="1" customWidth="1"/>
    <col min="12" max="14" width="15.21875" hidden="1" customWidth="1"/>
    <col min="15" max="15" width="15.21875" customWidth="1"/>
  </cols>
  <sheetData>
    <row r="1" spans="1:15" x14ac:dyDescent="0.3">
      <c r="A1" s="4" t="s">
        <v>0</v>
      </c>
      <c r="B1" s="4" t="s">
        <v>1</v>
      </c>
      <c r="C1" s="4" t="s">
        <v>2</v>
      </c>
      <c r="D1" s="4" t="s">
        <v>3</v>
      </c>
      <c r="E1" s="4" t="s">
        <v>4</v>
      </c>
      <c r="F1" s="4" t="s">
        <v>5</v>
      </c>
      <c r="G1" s="4" t="s">
        <v>6</v>
      </c>
      <c r="H1" s="5" t="s">
        <v>37</v>
      </c>
      <c r="I1" s="5" t="s">
        <v>36</v>
      </c>
      <c r="J1" s="5" t="s">
        <v>35</v>
      </c>
      <c r="K1" s="5" t="s">
        <v>51</v>
      </c>
      <c r="L1" s="5" t="s">
        <v>48</v>
      </c>
      <c r="M1" s="5" t="s">
        <v>49</v>
      </c>
      <c r="N1" s="5" t="s">
        <v>50</v>
      </c>
      <c r="O1" s="2"/>
    </row>
    <row r="2" spans="1:15" x14ac:dyDescent="0.3">
      <c r="A2" s="1">
        <v>46066</v>
      </c>
      <c r="B2" s="2">
        <v>68883.399999999994</v>
      </c>
      <c r="C2" s="2">
        <v>66234.100000000006</v>
      </c>
      <c r="D2" s="2">
        <v>69405.5</v>
      </c>
      <c r="E2" s="2">
        <v>65871</v>
      </c>
      <c r="F2" t="s">
        <v>28</v>
      </c>
      <c r="G2" s="3">
        <v>3.9800000000000002E-2</v>
      </c>
      <c r="H2">
        <f t="shared" ref="H2:H29" si="0">VALUE(SUBSTITUTE(F2,"K"," ")*1000)</f>
        <v>70100</v>
      </c>
      <c r="I2" t="str">
        <f t="shared" ref="I2:I29" si="1">TEXT(DAY(A2),"ddd")</f>
        <v>Fri</v>
      </c>
      <c r="J2" s="2">
        <f t="shared" ref="J2:J29" si="2">C2*(1+G2)</f>
        <v>68870.217180000007</v>
      </c>
      <c r="K2" s="2"/>
      <c r="L2" s="2"/>
      <c r="M2" s="2"/>
      <c r="N2" s="2"/>
    </row>
    <row r="3" spans="1:15" x14ac:dyDescent="0.3">
      <c r="A3" s="1">
        <v>46073</v>
      </c>
      <c r="B3" s="2">
        <v>68023.5</v>
      </c>
      <c r="C3" s="2">
        <v>66983.7</v>
      </c>
      <c r="D3" s="2">
        <v>68299.399999999994</v>
      </c>
      <c r="E3" s="2">
        <v>66501.8</v>
      </c>
      <c r="F3" t="s">
        <v>21</v>
      </c>
      <c r="G3" s="3">
        <v>1.5599999999999999E-2</v>
      </c>
      <c r="H3">
        <f t="shared" si="0"/>
        <v>90380</v>
      </c>
      <c r="I3" t="str">
        <f t="shared" si="1"/>
        <v>Fri</v>
      </c>
      <c r="J3" s="2">
        <f t="shared" si="2"/>
        <v>68028.64572</v>
      </c>
      <c r="K3" s="2"/>
      <c r="L3" s="2"/>
      <c r="M3" s="2"/>
      <c r="N3" s="2"/>
      <c r="O3" s="2"/>
    </row>
    <row r="4" spans="1:15" x14ac:dyDescent="0.3">
      <c r="A4" s="1">
        <v>46080</v>
      </c>
      <c r="B4" s="2">
        <v>65870.2</v>
      </c>
      <c r="C4" s="2">
        <v>67487.7</v>
      </c>
      <c r="D4" s="2">
        <v>68190.8</v>
      </c>
      <c r="E4" s="2">
        <v>65018.7</v>
      </c>
      <c r="F4" t="s">
        <v>14</v>
      </c>
      <c r="G4" s="3">
        <v>-2.3900000000000001E-2</v>
      </c>
      <c r="H4">
        <f t="shared" si="0"/>
        <v>75210</v>
      </c>
      <c r="I4" t="str">
        <f t="shared" si="1"/>
        <v>Fri</v>
      </c>
      <c r="J4" s="2">
        <f t="shared" si="2"/>
        <v>65874.743969999996</v>
      </c>
      <c r="K4" s="2">
        <f>AVERAGE(J1:J4)</f>
        <v>67591.202290000001</v>
      </c>
      <c r="L4" s="2">
        <f>_xlfn.STDEV.P(J1:J4)</f>
        <v>1261.4099264433075</v>
      </c>
      <c r="M4" s="2">
        <f>K4+2*L4</f>
        <v>70114.022142886621</v>
      </c>
      <c r="N4" s="2">
        <f>K4-2*L4</f>
        <v>65068.382437113389</v>
      </c>
      <c r="O4" s="2"/>
    </row>
    <row r="5" spans="1:15" x14ac:dyDescent="0.3">
      <c r="A5" s="1">
        <v>46087</v>
      </c>
      <c r="B5" s="2">
        <v>68429.3</v>
      </c>
      <c r="C5" s="2">
        <v>70892.899999999994</v>
      </c>
      <c r="D5" s="2">
        <v>71361.100000000006</v>
      </c>
      <c r="E5" s="2">
        <v>67755.5</v>
      </c>
      <c r="F5" t="s">
        <v>7</v>
      </c>
      <c r="G5" s="3">
        <v>-3.4700000000000002E-2</v>
      </c>
      <c r="H5">
        <f t="shared" si="0"/>
        <v>77700</v>
      </c>
      <c r="I5" t="str">
        <f t="shared" si="1"/>
        <v>Fri</v>
      </c>
      <c r="J5" s="2">
        <f t="shared" si="2"/>
        <v>68432.916369999992</v>
      </c>
      <c r="K5" s="2">
        <f>AVERAGE(J1:J5)</f>
        <v>67801.630810000002</v>
      </c>
      <c r="L5" s="2">
        <f>_xlfn.STDEV.P(J1:J5)</f>
        <v>1151.6104975144378</v>
      </c>
      <c r="M5" s="2">
        <f>K5+2*L5</f>
        <v>70104.851805028884</v>
      </c>
      <c r="N5" s="2">
        <f>K5-2*L5</f>
        <v>65498.409814971128</v>
      </c>
      <c r="O5" s="2"/>
    </row>
    <row r="6" spans="1:15" x14ac:dyDescent="0.3">
      <c r="A6" s="1">
        <v>46062</v>
      </c>
      <c r="B6" s="2">
        <v>70127.899999999994</v>
      </c>
      <c r="C6" s="2">
        <v>70356</v>
      </c>
      <c r="D6" s="2">
        <v>71379.5</v>
      </c>
      <c r="E6" s="2">
        <v>68389.3</v>
      </c>
      <c r="F6" t="s">
        <v>32</v>
      </c>
      <c r="G6" s="3">
        <v>-3.0000000000000001E-3</v>
      </c>
      <c r="H6">
        <f t="shared" si="0"/>
        <v>89050</v>
      </c>
      <c r="I6" t="str">
        <f t="shared" si="1"/>
        <v>Mon</v>
      </c>
      <c r="J6" s="2">
        <f t="shared" si="2"/>
        <v>70144.932000000001</v>
      </c>
      <c r="K6" s="2"/>
      <c r="L6" s="2"/>
      <c r="M6" s="2"/>
      <c r="N6" s="2"/>
      <c r="O6" s="2"/>
    </row>
    <row r="7" spans="1:15" x14ac:dyDescent="0.3">
      <c r="A7" s="1">
        <v>46069</v>
      </c>
      <c r="B7" s="2">
        <v>68890.7</v>
      </c>
      <c r="C7" s="2">
        <v>68818.7</v>
      </c>
      <c r="D7" s="2">
        <v>70076</v>
      </c>
      <c r="E7" s="2">
        <v>67315</v>
      </c>
      <c r="F7" t="s">
        <v>25</v>
      </c>
      <c r="G7" s="3">
        <v>1.1000000000000001E-3</v>
      </c>
      <c r="H7">
        <f t="shared" si="0"/>
        <v>52190</v>
      </c>
      <c r="I7" t="str">
        <f t="shared" si="1"/>
        <v>Mon</v>
      </c>
      <c r="J7" s="2">
        <f t="shared" si="2"/>
        <v>68894.400569999998</v>
      </c>
      <c r="K7" s="2"/>
      <c r="L7" s="2"/>
      <c r="M7" s="2"/>
      <c r="N7" s="2"/>
      <c r="O7" s="2"/>
    </row>
    <row r="8" spans="1:15" x14ac:dyDescent="0.3">
      <c r="A8" s="1">
        <v>46076</v>
      </c>
      <c r="B8" s="2">
        <v>64662.7</v>
      </c>
      <c r="C8" s="2">
        <v>67640</v>
      </c>
      <c r="D8" s="2">
        <v>67665.399999999994</v>
      </c>
      <c r="E8" s="2">
        <v>63939</v>
      </c>
      <c r="F8" t="s">
        <v>18</v>
      </c>
      <c r="G8" s="3">
        <v>-4.41E-2</v>
      </c>
      <c r="H8">
        <f t="shared" si="0"/>
        <v>108840</v>
      </c>
      <c r="I8" t="str">
        <f t="shared" si="1"/>
        <v>Mon</v>
      </c>
      <c r="J8" s="2">
        <f t="shared" si="2"/>
        <v>64657.076000000001</v>
      </c>
      <c r="K8" s="2"/>
      <c r="L8" s="2"/>
      <c r="M8" s="2"/>
      <c r="N8" s="2"/>
      <c r="O8" s="2"/>
    </row>
    <row r="9" spans="1:15" x14ac:dyDescent="0.3">
      <c r="A9" s="1">
        <v>46083</v>
      </c>
      <c r="B9" s="2">
        <v>68790.8</v>
      </c>
      <c r="C9" s="2">
        <v>65806.600000000006</v>
      </c>
      <c r="D9" s="2">
        <v>69986.399999999994</v>
      </c>
      <c r="E9" s="2">
        <v>65307.8</v>
      </c>
      <c r="F9" t="s">
        <v>11</v>
      </c>
      <c r="G9" s="3">
        <v>4.5999999999999999E-2</v>
      </c>
      <c r="H9">
        <f t="shared" si="0"/>
        <v>108800</v>
      </c>
      <c r="I9" t="str">
        <f t="shared" si="1"/>
        <v>Mon</v>
      </c>
      <c r="J9" s="2">
        <f t="shared" si="2"/>
        <v>68833.703600000008</v>
      </c>
      <c r="K9" s="2">
        <f>AVERAGE(J1:J9)</f>
        <v>67967.079426250013</v>
      </c>
      <c r="L9" s="2">
        <f>_xlfn.STDEV.P(J1:J9)</f>
        <v>1685.3948501526243</v>
      </c>
      <c r="M9" s="2">
        <f>K9+2*L9</f>
        <v>71337.869126555262</v>
      </c>
      <c r="N9" s="2">
        <f>K9-2*L9</f>
        <v>64596.289725944764</v>
      </c>
      <c r="O9" s="2"/>
    </row>
    <row r="10" spans="1:15" x14ac:dyDescent="0.3">
      <c r="A10" s="1">
        <v>46060</v>
      </c>
      <c r="B10" s="2">
        <v>69319.5</v>
      </c>
      <c r="C10" s="2">
        <v>70556</v>
      </c>
      <c r="D10" s="2">
        <v>71570.399999999994</v>
      </c>
      <c r="E10" s="2">
        <v>67397.399999999994</v>
      </c>
      <c r="F10" t="s">
        <v>34</v>
      </c>
      <c r="G10" s="3">
        <v>-1.7500000000000002E-2</v>
      </c>
      <c r="H10">
        <f t="shared" si="0"/>
        <v>113640</v>
      </c>
      <c r="I10" t="str">
        <f t="shared" si="1"/>
        <v>Sat</v>
      </c>
      <c r="J10" s="2">
        <f t="shared" si="2"/>
        <v>69321.27</v>
      </c>
      <c r="K10" s="2"/>
      <c r="L10" s="2"/>
      <c r="M10" s="2"/>
      <c r="N10" s="2"/>
      <c r="O10" s="2"/>
    </row>
    <row r="11" spans="1:15" x14ac:dyDescent="0.3">
      <c r="A11" s="1">
        <v>46067</v>
      </c>
      <c r="B11" s="2">
        <v>69784.399999999994</v>
      </c>
      <c r="C11" s="2">
        <v>68828.7</v>
      </c>
      <c r="D11" s="2">
        <v>70494.5</v>
      </c>
      <c r="E11" s="2">
        <v>68725.600000000006</v>
      </c>
      <c r="F11" t="s">
        <v>27</v>
      </c>
      <c r="G11" s="3">
        <v>1.3100000000000001E-2</v>
      </c>
      <c r="H11">
        <f t="shared" si="0"/>
        <v>56530</v>
      </c>
      <c r="I11" t="str">
        <f t="shared" si="1"/>
        <v>Sat</v>
      </c>
      <c r="J11" s="2">
        <f t="shared" si="2"/>
        <v>69730.355970000004</v>
      </c>
      <c r="K11" s="2"/>
      <c r="L11" s="2"/>
      <c r="M11" s="2"/>
      <c r="N11" s="2"/>
      <c r="O11" s="2"/>
    </row>
    <row r="12" spans="1:15" x14ac:dyDescent="0.3">
      <c r="A12" s="1">
        <v>46074</v>
      </c>
      <c r="B12" s="2">
        <v>68011.100000000006</v>
      </c>
      <c r="C12" s="2">
        <v>68018.100000000006</v>
      </c>
      <c r="D12" s="2">
        <v>68673.3</v>
      </c>
      <c r="E12" s="2">
        <v>67556.399999999994</v>
      </c>
      <c r="F12" t="s">
        <v>20</v>
      </c>
      <c r="G12" s="3">
        <v>-2.0000000000000001E-4</v>
      </c>
      <c r="H12">
        <f t="shared" si="0"/>
        <v>31400</v>
      </c>
      <c r="I12" t="str">
        <f t="shared" si="1"/>
        <v>Sat</v>
      </c>
      <c r="J12" s="2">
        <f t="shared" si="2"/>
        <v>68004.496380000011</v>
      </c>
      <c r="K12" s="2"/>
      <c r="L12" s="2"/>
      <c r="M12" s="2"/>
      <c r="N12" s="2"/>
      <c r="O12" s="2"/>
    </row>
    <row r="13" spans="1:15" x14ac:dyDescent="0.3">
      <c r="A13" s="1">
        <v>46081</v>
      </c>
      <c r="B13" s="2">
        <v>66995</v>
      </c>
      <c r="C13" s="2">
        <v>65881.5</v>
      </c>
      <c r="D13" s="2">
        <v>67657.399999999994</v>
      </c>
      <c r="E13" s="2">
        <v>63068.7</v>
      </c>
      <c r="F13" t="s">
        <v>13</v>
      </c>
      <c r="G13" s="3">
        <v>1.7100000000000001E-2</v>
      </c>
      <c r="H13">
        <f t="shared" si="0"/>
        <v>78940</v>
      </c>
      <c r="I13" t="str">
        <f t="shared" si="1"/>
        <v>Sat</v>
      </c>
      <c r="J13" s="2">
        <f t="shared" si="2"/>
        <v>67008.073649999991</v>
      </c>
      <c r="K13" s="2">
        <f>AVERAGE(J1:J13)</f>
        <v>68150.06928416669</v>
      </c>
      <c r="L13" s="2">
        <f>_xlfn.STDEV.P(J1:J13)</f>
        <v>1532.6091950560619</v>
      </c>
      <c r="M13" s="2">
        <f>K13+2*L13</f>
        <v>71215.287674278807</v>
      </c>
      <c r="N13" s="2">
        <f>K13-2*L13</f>
        <v>65084.850894054565</v>
      </c>
      <c r="O13" s="2"/>
    </row>
    <row r="14" spans="1:15" x14ac:dyDescent="0.3">
      <c r="A14" s="1">
        <v>46061</v>
      </c>
      <c r="B14" s="2">
        <v>70342</v>
      </c>
      <c r="C14" s="2">
        <v>69318.8</v>
      </c>
      <c r="D14" s="2">
        <v>72204.2</v>
      </c>
      <c r="E14" s="2">
        <v>68888.100000000006</v>
      </c>
      <c r="F14" t="s">
        <v>33</v>
      </c>
      <c r="G14" s="3">
        <v>1.4800000000000001E-2</v>
      </c>
      <c r="H14">
        <f t="shared" si="0"/>
        <v>64849.999999999993</v>
      </c>
      <c r="I14" t="str">
        <f t="shared" si="1"/>
        <v>Sun</v>
      </c>
      <c r="J14" s="2">
        <f t="shared" si="2"/>
        <v>70344.718240000002</v>
      </c>
      <c r="K14" s="2"/>
      <c r="L14" s="2"/>
      <c r="M14" s="2"/>
      <c r="N14" s="2"/>
      <c r="O14" s="2"/>
    </row>
    <row r="15" spans="1:15" x14ac:dyDescent="0.3">
      <c r="A15" s="1">
        <v>46068</v>
      </c>
      <c r="B15" s="2">
        <v>68813.8</v>
      </c>
      <c r="C15" s="2">
        <v>69797</v>
      </c>
      <c r="D15" s="2">
        <v>70961.2</v>
      </c>
      <c r="E15" s="2">
        <v>68076.100000000006</v>
      </c>
      <c r="F15" t="s">
        <v>26</v>
      </c>
      <c r="G15" s="3">
        <v>-1.3899999999999999E-2</v>
      </c>
      <c r="H15">
        <f t="shared" si="0"/>
        <v>59220</v>
      </c>
      <c r="I15" t="str">
        <f t="shared" si="1"/>
        <v>Sun</v>
      </c>
      <c r="J15" s="2">
        <f t="shared" si="2"/>
        <v>68826.8217</v>
      </c>
      <c r="K15" s="2"/>
      <c r="L15" s="2"/>
      <c r="M15" s="2"/>
      <c r="N15" s="2"/>
      <c r="O15" s="2"/>
    </row>
    <row r="16" spans="1:15" x14ac:dyDescent="0.3">
      <c r="A16" s="1">
        <v>46075</v>
      </c>
      <c r="B16" s="2">
        <v>67642.899999999994</v>
      </c>
      <c r="C16" s="2">
        <v>68003</v>
      </c>
      <c r="D16" s="2">
        <v>68243.100000000006</v>
      </c>
      <c r="E16" s="2">
        <v>67197.7</v>
      </c>
      <c r="F16" t="s">
        <v>19</v>
      </c>
      <c r="G16" s="3">
        <v>-5.4000000000000003E-3</v>
      </c>
      <c r="H16">
        <f t="shared" si="0"/>
        <v>32600</v>
      </c>
      <c r="I16" t="str">
        <f t="shared" si="1"/>
        <v>Sun</v>
      </c>
      <c r="J16" s="2">
        <f t="shared" si="2"/>
        <v>67635.783800000005</v>
      </c>
      <c r="K16" s="2"/>
      <c r="L16" s="2"/>
      <c r="M16" s="2"/>
      <c r="N16" s="2"/>
      <c r="O16" s="2"/>
    </row>
    <row r="17" spans="1:58" x14ac:dyDescent="0.3">
      <c r="A17" s="1">
        <v>46082</v>
      </c>
      <c r="B17" s="2">
        <v>65763.3</v>
      </c>
      <c r="C17" s="2">
        <v>66990.7</v>
      </c>
      <c r="D17" s="2">
        <v>68159.199999999997</v>
      </c>
      <c r="E17" s="2">
        <v>65093.1</v>
      </c>
      <c r="F17" t="s">
        <v>12</v>
      </c>
      <c r="G17" s="3">
        <v>-1.84E-2</v>
      </c>
      <c r="H17">
        <f t="shared" si="0"/>
        <v>71350</v>
      </c>
      <c r="I17" t="str">
        <f t="shared" si="1"/>
        <v>Sun</v>
      </c>
      <c r="J17" s="2">
        <f t="shared" si="2"/>
        <v>65758.071119999993</v>
      </c>
      <c r="K17" s="2">
        <f>AVERAGE(J1:J17)</f>
        <v>68147.889141875014</v>
      </c>
      <c r="L17" s="2">
        <f>_xlfn.STDEV.P(J1:J17)</f>
        <v>1570.1759045007498</v>
      </c>
      <c r="M17" s="2">
        <f>K17+2*L17</f>
        <v>71288.240950876512</v>
      </c>
      <c r="N17" s="2">
        <f>K17-2*L17</f>
        <v>65007.537332873515</v>
      </c>
      <c r="O17" s="2"/>
    </row>
    <row r="18" spans="1:58" x14ac:dyDescent="0.3">
      <c r="A18" s="1">
        <v>46065</v>
      </c>
      <c r="B18" s="2">
        <v>66248.7</v>
      </c>
      <c r="C18" s="2">
        <v>67048.800000000003</v>
      </c>
      <c r="D18" s="2">
        <v>68349.5</v>
      </c>
      <c r="E18" s="2">
        <v>65138.1</v>
      </c>
      <c r="F18" t="s">
        <v>29</v>
      </c>
      <c r="G18" s="3">
        <v>-1.1900000000000001E-2</v>
      </c>
      <c r="H18">
        <f t="shared" si="0"/>
        <v>79760</v>
      </c>
      <c r="I18" t="str">
        <f t="shared" si="1"/>
        <v>Thu</v>
      </c>
      <c r="J18" s="2">
        <f t="shared" si="2"/>
        <v>66250.919280000002</v>
      </c>
      <c r="K18" s="2"/>
      <c r="L18" s="2"/>
      <c r="M18" s="2"/>
      <c r="N18" s="2"/>
      <c r="O18" s="2"/>
    </row>
    <row r="19" spans="1:58" x14ac:dyDescent="0.3">
      <c r="A19" s="1">
        <v>46072</v>
      </c>
      <c r="B19" s="2">
        <v>66978.899999999994</v>
      </c>
      <c r="C19" s="2">
        <v>66466.7</v>
      </c>
      <c r="D19" s="2">
        <v>67304.600000000006</v>
      </c>
      <c r="E19" s="2">
        <v>65653.5</v>
      </c>
      <c r="F19" t="s">
        <v>22</v>
      </c>
      <c r="G19" s="3">
        <v>7.6E-3</v>
      </c>
      <c r="H19">
        <f t="shared" si="0"/>
        <v>53720</v>
      </c>
      <c r="I19" t="str">
        <f t="shared" si="1"/>
        <v>Thu</v>
      </c>
      <c r="J19" s="2">
        <f t="shared" si="2"/>
        <v>66971.846919999996</v>
      </c>
      <c r="K19" s="2"/>
      <c r="L19" s="2"/>
      <c r="M19" s="2"/>
      <c r="N19" s="2"/>
      <c r="O19" s="2"/>
    </row>
    <row r="20" spans="1:58" x14ac:dyDescent="0.3">
      <c r="A20" s="1">
        <v>46079</v>
      </c>
      <c r="B20" s="2">
        <v>67482.100000000006</v>
      </c>
      <c r="C20" s="2">
        <v>67987.199999999997</v>
      </c>
      <c r="D20" s="2">
        <v>68842.899999999994</v>
      </c>
      <c r="E20" s="2">
        <v>66573.7</v>
      </c>
      <c r="F20" t="s">
        <v>15</v>
      </c>
      <c r="G20" s="3">
        <v>-7.3000000000000001E-3</v>
      </c>
      <c r="H20">
        <f t="shared" si="0"/>
        <v>72070</v>
      </c>
      <c r="I20" t="str">
        <f t="shared" si="1"/>
        <v>Thu</v>
      </c>
      <c r="J20" s="2">
        <f t="shared" si="2"/>
        <v>67490.89344</v>
      </c>
      <c r="K20" s="2">
        <f>AVERAGE(J1:J20)</f>
        <v>67951.572942631596</v>
      </c>
      <c r="L20" s="2">
        <f>_xlfn.STDEV.P(J1:J20)</f>
        <v>1523.9869854111832</v>
      </c>
      <c r="M20" s="2">
        <f>K20+2*L20</f>
        <v>70999.54691345396</v>
      </c>
      <c r="N20" s="2">
        <f>K20-2*L20</f>
        <v>64903.598971809231</v>
      </c>
      <c r="O20" s="2"/>
    </row>
    <row r="21" spans="1:58" x14ac:dyDescent="0.3">
      <c r="A21" s="1">
        <v>46086</v>
      </c>
      <c r="B21" s="2">
        <v>70887.5</v>
      </c>
      <c r="C21" s="2">
        <v>72744.3</v>
      </c>
      <c r="D21" s="2">
        <v>73540.2</v>
      </c>
      <c r="E21" s="2">
        <v>70661.7</v>
      </c>
      <c r="F21" t="s">
        <v>8</v>
      </c>
      <c r="G21" s="3">
        <v>-2.5899999999999999E-2</v>
      </c>
      <c r="H21">
        <f t="shared" si="0"/>
        <v>89380</v>
      </c>
      <c r="I21" t="str">
        <f t="shared" si="1"/>
        <v>Thu</v>
      </c>
      <c r="J21" s="2">
        <f t="shared" si="2"/>
        <v>70860.222630000004</v>
      </c>
      <c r="K21" s="2">
        <f>AVERAGE(J2:J21)</f>
        <v>68097.005427000011</v>
      </c>
      <c r="L21" s="2">
        <f>_xlfn.STDEV.P(J2:J21)</f>
        <v>1615.0142593176643</v>
      </c>
      <c r="M21" s="2">
        <f>K21+2*L21</f>
        <v>71327.033945635339</v>
      </c>
      <c r="N21" s="2">
        <f>K21-2*L21</f>
        <v>64866.976908364682</v>
      </c>
      <c r="O21" s="2"/>
    </row>
    <row r="22" spans="1:58" x14ac:dyDescent="0.3">
      <c r="A22" s="1">
        <v>46063</v>
      </c>
      <c r="B22" s="2">
        <v>68810.3</v>
      </c>
      <c r="C22" s="2">
        <v>70122.7</v>
      </c>
      <c r="D22" s="2">
        <v>70474.2</v>
      </c>
      <c r="E22" s="2">
        <v>67958.3</v>
      </c>
      <c r="F22" t="s">
        <v>31</v>
      </c>
      <c r="G22" s="3">
        <v>-1.8800000000000001E-2</v>
      </c>
      <c r="H22">
        <f t="shared" si="0"/>
        <v>70290</v>
      </c>
      <c r="I22" t="str">
        <f t="shared" si="1"/>
        <v>Tue</v>
      </c>
      <c r="J22" s="2">
        <f t="shared" si="2"/>
        <v>68804.39323999999</v>
      </c>
      <c r="K22" s="2"/>
      <c r="L22" s="2"/>
      <c r="M22" s="2"/>
      <c r="N22" s="2"/>
      <c r="O22" s="2"/>
    </row>
    <row r="23" spans="1:58" x14ac:dyDescent="0.3">
      <c r="A23" s="1">
        <v>46070</v>
      </c>
      <c r="B23" s="2">
        <v>67490.899999999994</v>
      </c>
      <c r="C23" s="2">
        <v>68889.399999999994</v>
      </c>
      <c r="D23" s="2">
        <v>69174.399999999994</v>
      </c>
      <c r="E23" s="2">
        <v>66649.2</v>
      </c>
      <c r="F23" t="s">
        <v>24</v>
      </c>
      <c r="G23" s="3">
        <v>-2.0299999999999999E-2</v>
      </c>
      <c r="H23">
        <f t="shared" si="0"/>
        <v>54940</v>
      </c>
      <c r="I23" t="str">
        <f t="shared" si="1"/>
        <v>Tue</v>
      </c>
      <c r="J23" s="2">
        <f t="shared" si="2"/>
        <v>67490.945179999995</v>
      </c>
      <c r="K23" s="2"/>
      <c r="L23" s="2"/>
      <c r="M23" s="2"/>
      <c r="N23" s="2"/>
      <c r="O23" s="2"/>
    </row>
    <row r="24" spans="1:58" x14ac:dyDescent="0.3">
      <c r="A24" s="1">
        <v>46077</v>
      </c>
      <c r="B24" s="2">
        <v>64048.800000000003</v>
      </c>
      <c r="C24" s="2">
        <v>64655.199999999997</v>
      </c>
      <c r="D24" s="2">
        <v>65002.3</v>
      </c>
      <c r="E24" s="2">
        <v>62650.1</v>
      </c>
      <c r="F24" t="s">
        <v>17</v>
      </c>
      <c r="G24" s="3">
        <v>-9.4999999999999998E-3</v>
      </c>
      <c r="H24">
        <f t="shared" si="0"/>
        <v>79660</v>
      </c>
      <c r="I24" t="str">
        <f t="shared" si="1"/>
        <v>Tue</v>
      </c>
      <c r="J24" s="2">
        <f t="shared" si="2"/>
        <v>64040.975599999998</v>
      </c>
      <c r="K24" s="2"/>
      <c r="L24" s="2"/>
      <c r="M24" s="2"/>
      <c r="N24" s="2"/>
      <c r="O24" s="2"/>
    </row>
    <row r="25" spans="1:58" x14ac:dyDescent="0.3">
      <c r="A25" s="1">
        <v>46084</v>
      </c>
      <c r="B25" s="2">
        <v>68318.5</v>
      </c>
      <c r="C25" s="2">
        <v>68802.7</v>
      </c>
      <c r="D25" s="2">
        <v>69213.3</v>
      </c>
      <c r="E25" s="2">
        <v>66288.7</v>
      </c>
      <c r="F25" t="s">
        <v>10</v>
      </c>
      <c r="G25" s="3">
        <v>-6.8999999999999999E-3</v>
      </c>
      <c r="H25">
        <f t="shared" si="0"/>
        <v>80590</v>
      </c>
      <c r="I25" t="str">
        <f t="shared" si="1"/>
        <v>Tue</v>
      </c>
      <c r="J25" s="2">
        <f t="shared" si="2"/>
        <v>68327.96136999999</v>
      </c>
      <c r="K25" s="2">
        <f>AVERAGE(J6:J25)</f>
        <v>67969.893034499997</v>
      </c>
      <c r="L25" s="2">
        <f>_xlfn.STDEV.P(J6:J25)</f>
        <v>1782.7069793733363</v>
      </c>
      <c r="M25" s="2">
        <f>K25+2*L25</f>
        <v>71535.306993246675</v>
      </c>
      <c r="N25" s="2">
        <f>K25-2*L25</f>
        <v>64404.479075753326</v>
      </c>
      <c r="O25" s="2"/>
      <c r="BF25" t="s">
        <v>55</v>
      </c>
    </row>
    <row r="26" spans="1:58" x14ac:dyDescent="0.3">
      <c r="A26" s="1">
        <v>46064</v>
      </c>
      <c r="B26" s="2">
        <v>67048.800000000003</v>
      </c>
      <c r="C26" s="2">
        <v>68809.2</v>
      </c>
      <c r="D26" s="2">
        <v>69273.899999999994</v>
      </c>
      <c r="E26" s="2">
        <v>65790</v>
      </c>
      <c r="F26" t="s">
        <v>30</v>
      </c>
      <c r="G26" s="3">
        <v>-2.5600000000000001E-2</v>
      </c>
      <c r="H26">
        <f t="shared" si="0"/>
        <v>89970</v>
      </c>
      <c r="I26" t="str">
        <f t="shared" si="1"/>
        <v>Wed</v>
      </c>
      <c r="J26" s="2">
        <f t="shared" si="2"/>
        <v>67047.684479999996</v>
      </c>
      <c r="K26" s="2"/>
      <c r="L26" s="2"/>
      <c r="M26" s="2"/>
      <c r="N26" s="2"/>
      <c r="O26" s="2"/>
    </row>
    <row r="27" spans="1:58" x14ac:dyDescent="0.3">
      <c r="A27" s="1">
        <v>46071</v>
      </c>
      <c r="B27" s="2">
        <v>66473.2</v>
      </c>
      <c r="C27" s="2">
        <v>67495.7</v>
      </c>
      <c r="D27" s="2">
        <v>68445.8</v>
      </c>
      <c r="E27" s="2">
        <v>65896.5</v>
      </c>
      <c r="F27" t="s">
        <v>23</v>
      </c>
      <c r="G27" s="3">
        <v>-1.5100000000000001E-2</v>
      </c>
      <c r="H27">
        <f t="shared" si="0"/>
        <v>56700</v>
      </c>
      <c r="I27" t="str">
        <f t="shared" si="1"/>
        <v>Wed</v>
      </c>
      <c r="J27" s="2">
        <f t="shared" si="2"/>
        <v>66476.51492999999</v>
      </c>
      <c r="K27" s="2"/>
      <c r="L27" s="2"/>
      <c r="M27" s="2"/>
      <c r="N27" s="2"/>
      <c r="O27" s="2"/>
    </row>
    <row r="28" spans="1:58" x14ac:dyDescent="0.3">
      <c r="A28" s="1">
        <v>46078</v>
      </c>
      <c r="B28" s="2">
        <v>67978.8</v>
      </c>
      <c r="C28" s="2">
        <v>64058.2</v>
      </c>
      <c r="D28" s="2">
        <v>69819.3</v>
      </c>
      <c r="E28" s="2">
        <v>63930.400000000001</v>
      </c>
      <c r="F28" t="s">
        <v>16</v>
      </c>
      <c r="G28" s="3">
        <v>6.1400000000000003E-2</v>
      </c>
      <c r="H28">
        <f t="shared" si="0"/>
        <v>105590</v>
      </c>
      <c r="I28" t="str">
        <f t="shared" si="1"/>
        <v>Wed</v>
      </c>
      <c r="J28" s="2">
        <f t="shared" si="2"/>
        <v>67991.373479999995</v>
      </c>
      <c r="K28" s="2"/>
      <c r="L28" s="2"/>
      <c r="M28" s="2"/>
      <c r="N28" s="2"/>
      <c r="O28" s="2"/>
    </row>
    <row r="29" spans="1:58" x14ac:dyDescent="0.3">
      <c r="A29" s="1">
        <v>46085</v>
      </c>
      <c r="B29" s="2">
        <v>72768.7</v>
      </c>
      <c r="C29" s="2">
        <v>68319.3</v>
      </c>
      <c r="D29" s="2">
        <v>74031</v>
      </c>
      <c r="E29" s="2">
        <v>67426.399999999994</v>
      </c>
      <c r="F29" t="s">
        <v>9</v>
      </c>
      <c r="G29" s="3">
        <v>6.5100000000000005E-2</v>
      </c>
      <c r="H29">
        <f t="shared" si="0"/>
        <v>136550</v>
      </c>
      <c r="I29" t="str">
        <f t="shared" si="1"/>
        <v>Wed</v>
      </c>
      <c r="J29" s="2">
        <f t="shared" si="2"/>
        <v>72766.886429999999</v>
      </c>
      <c r="K29" s="2">
        <f>AVERAGE(J10:J29)</f>
        <v>68057.510392000011</v>
      </c>
      <c r="L29" s="2">
        <f>_xlfn.STDEV.P(J10:J29)</f>
        <v>1899.910092670737</v>
      </c>
      <c r="M29" s="2">
        <f>K29+2*L29</f>
        <v>71857.33057734149</v>
      </c>
      <c r="N29" s="2">
        <f>K29-2*L29</f>
        <v>64257.690206658539</v>
      </c>
      <c r="O29" s="2"/>
    </row>
  </sheetData>
  <sortState xmlns:xlrd2="http://schemas.microsoft.com/office/spreadsheetml/2017/richdata2" ref="A2:N29">
    <sortCondition ref="I2:I29"/>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7807-BBE8-45BD-9673-F52E944875C6}">
  <dimension ref="A1:C31"/>
  <sheetViews>
    <sheetView zoomScale="70" zoomScaleNormal="70" workbookViewId="0">
      <selection activeCell="S12" sqref="S12"/>
    </sheetView>
  </sheetViews>
  <sheetFormatPr defaultRowHeight="14.4" x14ac:dyDescent="0.3"/>
  <cols>
    <col min="1" max="1" width="13.88671875" bestFit="1" customWidth="1"/>
    <col min="2" max="2" width="21.6640625" bestFit="1" customWidth="1"/>
    <col min="3" max="3" width="20" bestFit="1" customWidth="1"/>
    <col min="4" max="4" width="17.5546875" bestFit="1" customWidth="1"/>
  </cols>
  <sheetData>
    <row r="1" spans="1:3" ht="17.399999999999999" customHeight="1" x14ac:dyDescent="0.3"/>
    <row r="6" spans="1:3" x14ac:dyDescent="0.3">
      <c r="A6" s="6" t="s">
        <v>38</v>
      </c>
      <c r="B6" t="s">
        <v>47</v>
      </c>
      <c r="C6" t="s">
        <v>46</v>
      </c>
    </row>
    <row r="7" spans="1:3" x14ac:dyDescent="0.3">
      <c r="A7" s="7" t="s">
        <v>39</v>
      </c>
      <c r="B7" s="8">
        <v>68140.5</v>
      </c>
      <c r="C7" s="9">
        <v>57005</v>
      </c>
    </row>
    <row r="8" spans="1:3" x14ac:dyDescent="0.3">
      <c r="A8" s="7" t="s">
        <v>40</v>
      </c>
      <c r="B8" s="8">
        <v>68118.024999999994</v>
      </c>
      <c r="C8" s="9">
        <v>89720</v>
      </c>
    </row>
    <row r="9" spans="1:3" x14ac:dyDescent="0.3">
      <c r="A9" s="7" t="s">
        <v>41</v>
      </c>
      <c r="B9" s="8">
        <v>67167.125</v>
      </c>
      <c r="C9" s="9">
        <v>71370</v>
      </c>
    </row>
    <row r="10" spans="1:3" x14ac:dyDescent="0.3">
      <c r="A10" s="7" t="s">
        <v>42</v>
      </c>
      <c r="B10" s="8">
        <v>68567.375</v>
      </c>
      <c r="C10" s="9">
        <v>97202.5</v>
      </c>
    </row>
    <row r="11" spans="1:3" x14ac:dyDescent="0.3">
      <c r="A11" s="7" t="s">
        <v>43</v>
      </c>
      <c r="B11" s="8">
        <v>67899.299999999988</v>
      </c>
      <c r="C11" s="9">
        <v>73732.5</v>
      </c>
    </row>
    <row r="12" spans="1:3" x14ac:dyDescent="0.3">
      <c r="A12" s="7" t="s">
        <v>44</v>
      </c>
      <c r="B12" s="8">
        <v>67801.599999999991</v>
      </c>
      <c r="C12" s="9">
        <v>78347.5</v>
      </c>
    </row>
    <row r="13" spans="1:3" x14ac:dyDescent="0.3">
      <c r="A13" s="7" t="s">
        <v>45</v>
      </c>
      <c r="B13" s="8">
        <v>68527.5</v>
      </c>
      <c r="C13" s="9">
        <v>70127.5</v>
      </c>
    </row>
    <row r="24" spans="1:3" x14ac:dyDescent="0.3">
      <c r="A24" s="6" t="s">
        <v>38</v>
      </c>
      <c r="B24" t="s">
        <v>52</v>
      </c>
      <c r="C24" t="s">
        <v>53</v>
      </c>
    </row>
    <row r="25" spans="1:3" x14ac:dyDescent="0.3">
      <c r="A25" s="7" t="s">
        <v>39</v>
      </c>
      <c r="B25" s="9">
        <v>57005</v>
      </c>
      <c r="C25" s="3">
        <v>-5.7249999999999992E-3</v>
      </c>
    </row>
    <row r="26" spans="1:3" x14ac:dyDescent="0.3">
      <c r="A26" s="7" t="s">
        <v>40</v>
      </c>
      <c r="B26" s="9">
        <v>89720</v>
      </c>
      <c r="C26" s="3">
        <v>0</v>
      </c>
    </row>
    <row r="27" spans="1:3" x14ac:dyDescent="0.3">
      <c r="A27" s="7" t="s">
        <v>41</v>
      </c>
      <c r="B27" s="9">
        <v>71370</v>
      </c>
      <c r="C27" s="3">
        <v>-1.3874999999999998E-2</v>
      </c>
    </row>
    <row r="28" spans="1:3" x14ac:dyDescent="0.3">
      <c r="A28" s="7" t="s">
        <v>42</v>
      </c>
      <c r="B28" s="9">
        <v>97202.5</v>
      </c>
      <c r="C28" s="3">
        <v>2.1450000000000004E-2</v>
      </c>
    </row>
    <row r="29" spans="1:3" x14ac:dyDescent="0.3">
      <c r="A29" s="7" t="s">
        <v>43</v>
      </c>
      <c r="B29" s="9">
        <v>73732.5</v>
      </c>
      <c r="C29" s="3">
        <v>-9.3749999999999997E-3</v>
      </c>
    </row>
    <row r="30" spans="1:3" x14ac:dyDescent="0.3">
      <c r="A30" s="7" t="s">
        <v>44</v>
      </c>
      <c r="B30" s="9">
        <v>78347.5</v>
      </c>
      <c r="C30" s="3">
        <v>-8.0000000000000036E-4</v>
      </c>
    </row>
    <row r="31" spans="1:3" x14ac:dyDescent="0.3">
      <c r="A31" s="7" t="s">
        <v>45</v>
      </c>
      <c r="B31" s="9">
        <v>70127.5</v>
      </c>
      <c r="C31" s="3">
        <v>3.1250000000000002E-3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D55A9F219F666E44A625CB7AE2FCED9A" ma:contentTypeVersion="5" ma:contentTypeDescription="Utwórz nowy dokument." ma:contentTypeScope="" ma:versionID="218e0005c8b00e82e1955465e1ed7c3c">
  <xsd:schema xmlns:xsd="http://www.w3.org/2001/XMLSchema" xmlns:xs="http://www.w3.org/2001/XMLSchema" xmlns:p="http://schemas.microsoft.com/office/2006/metadata/properties" xmlns:ns3="e325f262-414a-42f9-b303-a5aea90c4c77" targetNamespace="http://schemas.microsoft.com/office/2006/metadata/properties" ma:root="true" ma:fieldsID="c40b07dff35eca03563209cdd9dc770a" ns3:_="">
    <xsd:import namespace="e325f262-414a-42f9-b303-a5aea90c4c7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25f262-414a-42f9-b303-a5aea90c4c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75DDF8-E269-415D-8600-A791BE385250}">
  <ds:schemaRefs>
    <ds:schemaRef ds:uri="http://www.w3.org/XML/1998/namespace"/>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e325f262-414a-42f9-b303-a5aea90c4c77"/>
    <ds:schemaRef ds:uri="http://schemas.microsoft.com/office/2006/metadata/properties"/>
  </ds:schemaRefs>
</ds:datastoreItem>
</file>

<file path=customXml/itemProps2.xml><?xml version="1.0" encoding="utf-8"?>
<ds:datastoreItem xmlns:ds="http://schemas.openxmlformats.org/officeDocument/2006/customXml" ds:itemID="{D497F21F-3A79-4478-961F-725DD3365BE7}">
  <ds:schemaRefs>
    <ds:schemaRef ds:uri="http://schemas.microsoft.com/sharepoint/v3/contenttype/forms"/>
  </ds:schemaRefs>
</ds:datastoreItem>
</file>

<file path=customXml/itemProps3.xml><?xml version="1.0" encoding="utf-8"?>
<ds:datastoreItem xmlns:ds="http://schemas.openxmlformats.org/officeDocument/2006/customXml" ds:itemID="{36E92373-A815-4EEA-B469-32B7A6507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25f262-414a-42f9-b303-a5aea90c4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3bc24c5-73ad-421a-9408-3ea555be4a07}" enabled="0" method="" siteId="{53bc24c5-73ad-421a-9408-3ea555be4a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Bitcoin Historical Data</vt:lpstr>
      <vt:lpstr>Bitcoin Dashboard</vt:lpstr>
      <vt:lpstr>Bitcoin 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Samet Izci</dc:creator>
  <cp:lastModifiedBy>Abdulsamet 144973</cp:lastModifiedBy>
  <dcterms:created xsi:type="dcterms:W3CDTF">2026-03-07T13:12:30Z</dcterms:created>
  <dcterms:modified xsi:type="dcterms:W3CDTF">2026-03-13T00:08:51Z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0x010100D55A9F219F666E44A625CB7AE2FCED9A</vt:lpwstr>
  </property>
</Properties>
</file>